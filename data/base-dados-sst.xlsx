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1.xml" ContentType="application/vnd.openxmlformats-officedocument.spreadsheetml.table+xml"/>
  <Override PartName="/xl/tables/table19.xml" ContentType="application/vnd.openxmlformats-officedocument.spreadsheetml.table+xml"/>
  <Override PartName="/xl/tables/table15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16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Unidade" sheetId="2" state="visible" r:id="rId4"/>
    <sheet name="dSetor" sheetId="3" state="visible" r:id="rId5"/>
    <sheet name="dCalendario" sheetId="4" state="visible" r:id="rId6"/>
    <sheet name="fAcidentesMensal" sheetId="5" state="visible" r:id="rId7"/>
    <sheet name="fRiscos" sheetId="6" state="visible" r:id="rId8"/>
    <sheet name="fBrigadistas" sheetId="7" state="visible" r:id="rId9"/>
    <sheet name="fEquipamentos" sheetId="8" state="visible" r:id="rId10"/>
    <sheet name="fDocumentos" sheetId="9" state="visible" r:id="rId11"/>
    <sheet name="fPesquisaDimensao" sheetId="10" state="visible" r:id="rId12"/>
    <sheet name="fPesquisaSetor" sheetId="11" state="visible" r:id="rId13"/>
    <sheet name="fPesquisaCiclo" sheetId="12" state="visible" r:id="rId14"/>
    <sheet name="fIndicadoresGestao" sheetId="13" state="visible" r:id="rId15"/>
    <sheet name="fSesmt" sheetId="14" state="visible" r:id="rId16"/>
    <sheet name="fAsos" sheetId="15" state="visible" r:id="rId17"/>
    <sheet name="fPeriodicosPendentes" sheetId="16" state="visible" r:id="rId18"/>
    <sheet name="fExames" sheetId="17" state="visible" r:id="rId19"/>
    <sheet name="fAfastamentos" sheetId="18" state="visible" r:id="rId20"/>
    <sheet name="fAgentesNocivos" sheetId="19" state="visible" r:id="rId21"/>
    <sheet name="fEventosEsocial" sheetId="20" state="visible" r:id="rId22"/>
    <sheet name="dMetas" sheetId="21" state="visible" r:id="rId23"/>
    <sheet name="Conferencia" sheetId="22" state="visible" r:id="rId24"/>
    <sheet name="Dicionario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<sst xmlns="http://schemas.openxmlformats.org/spreadsheetml/2006/main" count="3164" uniqueCount="843">
  <si>
    <t xml:space="preserve">Base de dados · Painel de SST e Conformidade</t>
  </si>
  <si>
    <t xml:space="preserve">Todos os nomes, unidades e números são fictícios e foram gerados para demonstração.</t>
  </si>
  <si>
    <t xml:space="preserve">Data de referência</t>
  </si>
  <si>
    <t xml:space="preserve">Célula editável. Prazos e situações (vencido, a vencer, vigente) são calculados a partir desta data. Para acompanhar o dia corrente, troque por =HOJE().</t>
  </si>
  <si>
    <t xml:space="preserve">Convenções</t>
  </si>
  <si>
    <t xml:space="preserve">Prefixo d = dimensão (cadastro); prefixo f = fato (medições). Chave principal entre tabelas: id_unidade (sigla da unidade).</t>
  </si>
  <si>
    <t xml:space="preserve">Percentuais estão em fração (0,9 = 90%). Colunas do tipo "Fórmula" são recalculadas pelo Excel e não devem ser digitadas.</t>
  </si>
  <si>
    <t xml:space="preserve">Valores em azul foram digitados; fundo amarelo indica célula de parâmetro.</t>
  </si>
  <si>
    <t xml:space="preserve">Tabelas</t>
  </si>
  <si>
    <t xml:space="preserve">Aba / tabela</t>
  </si>
  <si>
    <t xml:space="preserve">Conteúdo</t>
  </si>
  <si>
    <t xml:space="preserve">Linhas</t>
  </si>
  <si>
    <t xml:space="preserve">dUnidade</t>
  </si>
  <si>
    <t xml:space="preserve">Unidades (matriz e filiais), efetivo e horas-homem trabalhadas</t>
  </si>
  <si>
    <t xml:space="preserve">dSetor</t>
  </si>
  <si>
    <t xml:space="preserve">Setores usados no inventário de riscos, brigada e pesquisa</t>
  </si>
  <si>
    <t xml:space="preserve">dCalendario</t>
  </si>
  <si>
    <t xml:space="preserve">Meses do período de 12 meses analisado</t>
  </si>
  <si>
    <t xml:space="preserve">fAcidentesMensal</t>
  </si>
  <si>
    <t xml:space="preserve">Acidentes de trabalho por unidade e mês</t>
  </si>
  <si>
    <t xml:space="preserve">fRiscos</t>
  </si>
  <si>
    <t xml:space="preserve">Inventário de riscos do PGR (NR-1): perigos identificados por setor e categoria</t>
  </si>
  <si>
    <t xml:space="preserve">fBrigadistas</t>
  </si>
  <si>
    <t xml:space="preserve">Brigadistas voluntários e validade do treinamento (NR-23)</t>
  </si>
  <si>
    <t xml:space="preserve">fEquipamentos</t>
  </si>
  <si>
    <t xml:space="preserve">Extintores, hidrantes, EPIs e kits de emergência com validade</t>
  </si>
  <si>
    <t xml:space="preserve">fDocumentos</t>
  </si>
  <si>
    <t xml:space="preserve">Documentos obrigatórios de SST, POPs e fluxos de trabalho (vigência e revisão)</t>
  </si>
  <si>
    <t xml:space="preserve">fPesquisaDimensao</t>
  </si>
  <si>
    <t xml:space="preserve">Pesquisa de clima de segurança: nota por dimensão (0 a 10)</t>
  </si>
  <si>
    <t xml:space="preserve">fPesquisaSetor</t>
  </si>
  <si>
    <t xml:space="preserve">Pesquisa de clima de segurança: nota média por setor</t>
  </si>
  <si>
    <t xml:space="preserve">fPesquisaCiclo</t>
  </si>
  <si>
    <t xml:space="preserve">Evolução da nota geral da pesquisa nos últimos quatro ciclos</t>
  </si>
  <si>
    <t xml:space="preserve">fIndicadoresGestao</t>
  </si>
  <si>
    <t xml:space="preserve">Indicadores consolidados por unidade (janela de 12 meses até a data de referência)</t>
  </si>
  <si>
    <t xml:space="preserve">fSesmt</t>
  </si>
  <si>
    <t xml:space="preserve">SESMT (NR-4): profissionais exigidos e existentes por unidade (dimensionamento fictício)</t>
  </si>
  <si>
    <t xml:space="preserve">fAsos</t>
  </si>
  <si>
    <t xml:space="preserve">ASOs realizados em 12 meses por tipo (PCMSO · NR-7)</t>
  </si>
  <si>
    <t xml:space="preserve">fPeriodicosPendentes</t>
  </si>
  <si>
    <t xml:space="preserve">ASOs periódicos vencidos ou a vencer: casos prioritários (amostra)</t>
  </si>
  <si>
    <t xml:space="preserve">fExames</t>
  </si>
  <si>
    <t xml:space="preserve">Exames complementares do PCMSO: programados × realizados</t>
  </si>
  <si>
    <t xml:space="preserve">fAfastamentos</t>
  </si>
  <si>
    <t xml:space="preserve">Dias de afastamento em 12 meses por grupo de causa (dados agregados)</t>
  </si>
  <si>
    <t xml:space="preserve">fAgentesNocivos</t>
  </si>
  <si>
    <t xml:space="preserve">Agentes nocivos e insalubridade identificados no LTCAT (NR-15)</t>
  </si>
  <si>
    <t xml:space="preserve">fEventosEsocial</t>
  </si>
  <si>
    <t xml:space="preserve">Eventos de SST enviados ao eSocial (base do PPP eletrônico)</t>
  </si>
  <si>
    <t xml:space="preserve">dMetas</t>
  </si>
  <si>
    <t xml:space="preserve">Metas internas de prontidão dos indicadores e selos afetados (simulação)</t>
  </si>
  <si>
    <t xml:space="preserve">Conferencia</t>
  </si>
  <si>
    <t xml:space="preserve">KPIs recalculados com fórmulas a partir das tabelas e comparados com o painel</t>
  </si>
  <si>
    <t xml:space="preserve">Dicionario</t>
  </si>
  <si>
    <t xml:space="preserve">Descrição de cada coluna, tipo e relacionamento</t>
  </si>
  <si>
    <t xml:space="preserve">id_unidade</t>
  </si>
  <si>
    <t xml:space="preserve">nome_unidade</t>
  </si>
  <si>
    <t xml:space="preserve">tipo</t>
  </si>
  <si>
    <t xml:space="preserve">cidade</t>
  </si>
  <si>
    <t xml:space="preserve">uf</t>
  </si>
  <si>
    <t xml:space="preserve">colaboradores</t>
  </si>
  <si>
    <t xml:space="preserve">horas_homem_ano</t>
  </si>
  <si>
    <t xml:space="preserve">grau_risco</t>
  </si>
  <si>
    <t xml:space="preserve">BSB</t>
  </si>
  <si>
    <t xml:space="preserve">Matriz – Brasília/DF</t>
  </si>
  <si>
    <t xml:space="preserve">Matriz</t>
  </si>
  <si>
    <t xml:space="preserve">Brasília</t>
  </si>
  <si>
    <t xml:space="preserve">DF</t>
  </si>
  <si>
    <t xml:space="preserve">SP</t>
  </si>
  <si>
    <t xml:space="preserve">Filial São Paulo/SP</t>
  </si>
  <si>
    <t xml:space="preserve">Filial</t>
  </si>
  <si>
    <t xml:space="preserve">São Paulo</t>
  </si>
  <si>
    <t xml:space="preserve">GYN</t>
  </si>
  <si>
    <t xml:space="preserve">Filial Goiânia/GO</t>
  </si>
  <si>
    <t xml:space="preserve">Goiânia</t>
  </si>
  <si>
    <t xml:space="preserve">GO</t>
  </si>
  <si>
    <t xml:space="preserve">BH</t>
  </si>
  <si>
    <t xml:space="preserve">Filial Belo Horizonte/MG</t>
  </si>
  <si>
    <t xml:space="preserve">Belo Horizonte</t>
  </si>
  <si>
    <t xml:space="preserve">MG</t>
  </si>
  <si>
    <t xml:space="preserve">setor</t>
  </si>
  <si>
    <t xml:space="preserve">Administrativo</t>
  </si>
  <si>
    <t xml:space="preserve">Operações</t>
  </si>
  <si>
    <t xml:space="preserve">Manutenção</t>
  </si>
  <si>
    <t xml:space="preserve">Logística</t>
  </si>
  <si>
    <t xml:space="preserve">Atendimento</t>
  </si>
  <si>
    <t xml:space="preserve">TI</t>
  </si>
  <si>
    <t xml:space="preserve">mes</t>
  </si>
  <si>
    <t xml:space="preserve">ano</t>
  </si>
  <si>
    <t xml:space="preserve">numero_mes</t>
  </si>
  <si>
    <t xml:space="preserve">nome_mes</t>
  </si>
  <si>
    <t xml:space="preserve">semestre</t>
  </si>
  <si>
    <t xml:space="preserve">nov/25</t>
  </si>
  <si>
    <t xml:space="preserve">2º sem./2025</t>
  </si>
  <si>
    <t xml:space="preserve">dez/25</t>
  </si>
  <si>
    <t xml:space="preserve">jan/26</t>
  </si>
  <si>
    <t xml:space="preserve">1º sem./2026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</si>
  <si>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</si>
  <si>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</si>
  <si>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</si>
  <si>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</si>
  <si>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</si>
  <si>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</si>
  <si>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2º sem./2026</t>
  </si>
  <si>
    <t xml:space="preserve">ago/26</t>
  </si>
  <si>
    <t xml:space="preserve">set/26</t>
  </si>
  <si>
    <t xml:space="preserve">out/26</t>
  </si>
  <si>
    <t xml:space="preserve">acidentes_caf</t>
  </si>
  <si>
    <t xml:space="preserve">acidentes_saf</t>
  </si>
  <si>
    <t xml:space="preserve">categoria_risco</t>
  </si>
  <si>
    <t xml:space="preserve">qtd_perigos</t>
  </si>
  <si>
    <t xml:space="preserve">Físico</t>
  </si>
  <si>
    <t xml:space="preserve">Químico</t>
  </si>
  <si>
    <t xml:space="preserve">Biológico</t>
  </si>
  <si>
    <t xml:space="preserve">Ergonômico</t>
  </si>
  <si>
    <t xml:space="preserve">Acidentes</t>
  </si>
  <si>
    <t xml:space="preserve">Psicossociais</t>
  </si>
  <si>
    <t xml:space="preserve">id_brigadista</t>
  </si>
  <si>
    <t xml:space="preserve">nome</t>
  </si>
  <si>
    <t xml:space="preserve">turno</t>
  </si>
  <si>
    <t xml:space="preserve">data_ultimo_treinamento</t>
  </si>
  <si>
    <t xml:space="preserve">data_validade</t>
  </si>
  <si>
    <t xml:space="preserve">dias_para_vencimento</t>
  </si>
  <si>
    <t xml:space="preserve">situacao</t>
  </si>
  <si>
    <t xml:space="preserve">BSB-B001</t>
  </si>
  <si>
    <t xml:space="preserve">Vanessa Nunes Souza</t>
  </si>
  <si>
    <t xml:space="preserve">Manhã</t>
  </si>
  <si>
    <t xml:space="preserve">BSB-B002</t>
  </si>
  <si>
    <t xml:space="preserve">Gabriela Gomes Costa</t>
  </si>
  <si>
    <t xml:space="preserve">Noite</t>
  </si>
  <si>
    <t xml:space="preserve">BSB-B003</t>
  </si>
  <si>
    <t xml:space="preserve">Yasmin Oliveira Souza</t>
  </si>
  <si>
    <t xml:space="preserve">BSB-B004</t>
  </si>
  <si>
    <t xml:space="preserve">Otávio Rocha Cardoso</t>
  </si>
  <si>
    <t xml:space="preserve">BSB-B005</t>
  </si>
  <si>
    <t xml:space="preserve">Leandro Silva Teixeira</t>
  </si>
  <si>
    <t xml:space="preserve">BSB-B006</t>
  </si>
  <si>
    <t xml:space="preserve">Bruno Freitas Martins</t>
  </si>
  <si>
    <t xml:space="preserve">BSB-B007</t>
  </si>
  <si>
    <t xml:space="preserve">Tatiane Barbosa Moreira</t>
  </si>
  <si>
    <t xml:space="preserve">BSB-B008</t>
  </si>
  <si>
    <t xml:space="preserve">Juliana Moreira Teixeira</t>
  </si>
  <si>
    <t xml:space="preserve">BSB-B009</t>
  </si>
  <si>
    <t xml:space="preserve">Isabela Dias Costa</t>
  </si>
  <si>
    <t xml:space="preserve">BSB-B010</t>
  </si>
  <si>
    <t xml:space="preserve">Priscila Oliveira Carvalho</t>
  </si>
  <si>
    <t xml:space="preserve">BSB-B011</t>
  </si>
  <si>
    <t xml:space="preserve">Isabela Gomes Vieira</t>
  </si>
  <si>
    <t xml:space="preserve">BSB-B012</t>
  </si>
  <si>
    <t xml:space="preserve">Diego Carvalho Lopes</t>
  </si>
  <si>
    <t xml:space="preserve">Tarde</t>
  </si>
  <si>
    <t xml:space="preserve">BSB-B013</t>
  </si>
  <si>
    <t xml:space="preserve">Natália Cardoso Souza</t>
  </si>
  <si>
    <t xml:space="preserve">BSB-B014</t>
  </si>
  <si>
    <t xml:space="preserve">Rafael Cardoso Souza</t>
  </si>
  <si>
    <t xml:space="preserve">BSB-B015</t>
  </si>
  <si>
    <t xml:space="preserve">Henrique Dias Cardoso</t>
  </si>
  <si>
    <t xml:space="preserve">BSB-B016</t>
  </si>
  <si>
    <t xml:space="preserve">Bruno Lopes Almeida</t>
  </si>
  <si>
    <t xml:space="preserve">BSB-B017</t>
  </si>
  <si>
    <t xml:space="preserve">Mariana Costa Nunes</t>
  </si>
  <si>
    <t xml:space="preserve">BSB-B018</t>
  </si>
  <si>
    <t xml:space="preserve">Yasmin Souza Vieira</t>
  </si>
  <si>
    <t xml:space="preserve">BSB-B019</t>
  </si>
  <si>
    <t xml:space="preserve">Tatiane Ferreira Ribeiro</t>
  </si>
  <si>
    <t xml:space="preserve">BSB-B020</t>
  </si>
  <si>
    <t xml:space="preserve">Rodrigo Ferreira Carvalho</t>
  </si>
  <si>
    <t xml:space="preserve">BSB-B021</t>
  </si>
  <si>
    <t xml:space="preserve">Rodrigo Rocha Freitas</t>
  </si>
  <si>
    <t xml:space="preserve">BSB-B022</t>
  </si>
  <si>
    <t xml:space="preserve">Vanessa Rodrigues Cardoso</t>
  </si>
  <si>
    <t xml:space="preserve">BSB-B023</t>
  </si>
  <si>
    <t xml:space="preserve">Rafael Lopes Rodrigues</t>
  </si>
  <si>
    <t xml:space="preserve">BSB-B024</t>
  </si>
  <si>
    <t xml:space="preserve">Leandro Gomes Teixeira</t>
  </si>
  <si>
    <t xml:space="preserve">BSB-B025</t>
  </si>
  <si>
    <t xml:space="preserve">Wesley Gomes Barbosa</t>
  </si>
  <si>
    <t xml:space="preserve">SP-B001</t>
  </si>
  <si>
    <t xml:space="preserve">Wesley Martins Martins</t>
  </si>
  <si>
    <t xml:space="preserve">SP-B002</t>
  </si>
  <si>
    <t xml:space="preserve">Bruno Almeida Teixeira</t>
  </si>
  <si>
    <t xml:space="preserve">SP-B003</t>
  </si>
  <si>
    <t xml:space="preserve">Henrique Souza Araújo</t>
  </si>
  <si>
    <t xml:space="preserve">SP-B004</t>
  </si>
  <si>
    <t xml:space="preserve">Karina Almeida Almeida</t>
  </si>
  <si>
    <t xml:space="preserve">SP-B005</t>
  </si>
  <si>
    <t xml:space="preserve">Eduarda Vieira Carvalho</t>
  </si>
  <si>
    <t xml:space="preserve">SP-B006</t>
  </si>
  <si>
    <t xml:space="preserve">Eduarda Freitas Ferreira</t>
  </si>
  <si>
    <t xml:space="preserve">SP-B007</t>
  </si>
  <si>
    <t xml:space="preserve">Natália Gomes Rocha</t>
  </si>
  <si>
    <t xml:space="preserve">SP-B008</t>
  </si>
  <si>
    <t xml:space="preserve">Fábio Souza Carvalho</t>
  </si>
  <si>
    <t xml:space="preserve">SP-B009</t>
  </si>
  <si>
    <t xml:space="preserve">Wesley Ribeiro Silva</t>
  </si>
  <si>
    <t xml:space="preserve">SP-B010</t>
  </si>
  <si>
    <t xml:space="preserve">Rafael Souza Moreira</t>
  </si>
  <si>
    <t xml:space="preserve">SP-B011</t>
  </si>
  <si>
    <t xml:space="preserve">Thiago Teixeira Ribeiro</t>
  </si>
  <si>
    <t xml:space="preserve">SP-B012</t>
  </si>
  <si>
    <t xml:space="preserve">Yasmin Silva Ribeiro</t>
  </si>
  <si>
    <t xml:space="preserve">SP-B013</t>
  </si>
  <si>
    <t xml:space="preserve">Lucas Ferreira Costa</t>
  </si>
  <si>
    <t xml:space="preserve">SP-B014</t>
  </si>
  <si>
    <t xml:space="preserve">Natália Silva Ferreira</t>
  </si>
  <si>
    <t xml:space="preserve">SP-B015</t>
  </si>
  <si>
    <t xml:space="preserve">Leandro Teixeira Vieira</t>
  </si>
  <si>
    <t xml:space="preserve">SP-B016</t>
  </si>
  <si>
    <t xml:space="preserve">Wesley Gomes Teixeira</t>
  </si>
  <si>
    <t xml:space="preserve">SP-B017</t>
  </si>
  <si>
    <t xml:space="preserve">Felipe Costa Lopes</t>
  </si>
  <si>
    <t xml:space="preserve">SP-B018</t>
  </si>
  <si>
    <t xml:space="preserve">Tatiane Vieira Lopes</t>
  </si>
  <si>
    <t xml:space="preserve">SP-B019</t>
  </si>
  <si>
    <t xml:space="preserve">Wesley Moreira Vieira</t>
  </si>
  <si>
    <t xml:space="preserve">SP-B020</t>
  </si>
  <si>
    <t xml:space="preserve">Ana Ribeiro Martins</t>
  </si>
  <si>
    <t xml:space="preserve">SP-B021</t>
  </si>
  <si>
    <t xml:space="preserve">Gabriela Silva Oliveira</t>
  </si>
  <si>
    <t xml:space="preserve">SP-B022</t>
  </si>
  <si>
    <t xml:space="preserve">Karina Teixeira Nunes</t>
  </si>
  <si>
    <t xml:space="preserve">SP-B023</t>
  </si>
  <si>
    <t xml:space="preserve">Carla Moreira Barbosa</t>
  </si>
  <si>
    <t xml:space="preserve">SP-B024</t>
  </si>
  <si>
    <t xml:space="preserve">Lucas Teixeira Dias</t>
  </si>
  <si>
    <t xml:space="preserve">SP-B025</t>
  </si>
  <si>
    <t xml:space="preserve">Natália Souza Vieira</t>
  </si>
  <si>
    <t xml:space="preserve">SP-B026</t>
  </si>
  <si>
    <t xml:space="preserve">Rodrigo Ribeiro Souza</t>
  </si>
  <si>
    <t xml:space="preserve">SP-B027</t>
  </si>
  <si>
    <t xml:space="preserve">Lucas Mendes Souza</t>
  </si>
  <si>
    <t xml:space="preserve">SP-B028</t>
  </si>
  <si>
    <t xml:space="preserve">Isabela Mendes Nunes</t>
  </si>
  <si>
    <t xml:space="preserve">SP-B029</t>
  </si>
  <si>
    <t xml:space="preserve">Priscila Barbosa Oliveira</t>
  </si>
  <si>
    <t xml:space="preserve">SP-B030</t>
  </si>
  <si>
    <t xml:space="preserve">Gabriela Rodrigues Cardoso</t>
  </si>
  <si>
    <t xml:space="preserve">SP-B031</t>
  </si>
  <si>
    <t xml:space="preserve">Caio Teixeira Moreira</t>
  </si>
  <si>
    <t xml:space="preserve">SP-B032</t>
  </si>
  <si>
    <t xml:space="preserve">Karina Rocha Pereira</t>
  </si>
  <si>
    <t xml:space="preserve">SP-B033</t>
  </si>
  <si>
    <t xml:space="preserve">Rodrigo Moreira Lopes</t>
  </si>
  <si>
    <t xml:space="preserve">SP-B034</t>
  </si>
  <si>
    <t xml:space="preserve">Gabriela Costa Vieira</t>
  </si>
  <si>
    <t xml:space="preserve">SP-B035</t>
  </si>
  <si>
    <t xml:space="preserve">Diego Rocha Ribeiro</t>
  </si>
  <si>
    <t xml:space="preserve">GYN-B001</t>
  </si>
  <si>
    <t xml:space="preserve">Priscila Almeida Lopes</t>
  </si>
  <si>
    <t xml:space="preserve">GYN-B002</t>
  </si>
  <si>
    <t xml:space="preserve">Felipe Vieira Oliveira</t>
  </si>
  <si>
    <t xml:space="preserve">GYN-B003</t>
  </si>
  <si>
    <t xml:space="preserve">Otávio Martins Moreira</t>
  </si>
  <si>
    <t xml:space="preserve">GYN-B004</t>
  </si>
  <si>
    <t xml:space="preserve">Fábio Cardoso Carvalho</t>
  </si>
  <si>
    <t xml:space="preserve">GYN-B005</t>
  </si>
  <si>
    <t xml:space="preserve">Sabrina Carvalho Araújo</t>
  </si>
  <si>
    <t xml:space="preserve">GYN-B006</t>
  </si>
  <si>
    <t xml:space="preserve">Diego Rodrigues Ferreira</t>
  </si>
  <si>
    <t xml:space="preserve">GYN-B007</t>
  </si>
  <si>
    <t xml:space="preserve">Diego Gomes Gomes</t>
  </si>
  <si>
    <t xml:space="preserve">GYN-B008</t>
  </si>
  <si>
    <t xml:space="preserve">Priscila Nunes Silva</t>
  </si>
  <si>
    <t xml:space="preserve">GYN-B009</t>
  </si>
  <si>
    <t xml:space="preserve">Diego Araújo Moreira</t>
  </si>
  <si>
    <t xml:space="preserve">GYN-B010</t>
  </si>
  <si>
    <t xml:space="preserve">Isabela Almeida Vieira</t>
  </si>
  <si>
    <t xml:space="preserve">GYN-B011</t>
  </si>
  <si>
    <t xml:space="preserve">Diego Lopes Barbosa</t>
  </si>
  <si>
    <t xml:space="preserve">GYN-B012</t>
  </si>
  <si>
    <t xml:space="preserve">Mariana Barbosa Ferreira</t>
  </si>
  <si>
    <t xml:space="preserve">BH-B001</t>
  </si>
  <si>
    <t xml:space="preserve">Felipe Dias Rodrigues</t>
  </si>
  <si>
    <t xml:space="preserve">BH-B002</t>
  </si>
  <si>
    <t xml:space="preserve">Vanessa Nunes Mendes</t>
  </si>
  <si>
    <t xml:space="preserve">BH-B003</t>
  </si>
  <si>
    <t xml:space="preserve">Yasmin Moreira Pereira</t>
  </si>
  <si>
    <t xml:space="preserve">BH-B004</t>
  </si>
  <si>
    <t xml:space="preserve">Priscila Almeida Pereira</t>
  </si>
  <si>
    <t xml:space="preserve">BH-B005</t>
  </si>
  <si>
    <t xml:space="preserve">Carla Carvalho Silva</t>
  </si>
  <si>
    <t xml:space="preserve">BH-B006</t>
  </si>
  <si>
    <t xml:space="preserve">Henrique Freitas Gomes</t>
  </si>
  <si>
    <t xml:space="preserve">BH-B007</t>
  </si>
  <si>
    <t xml:space="preserve">Leandro Freitas Cardoso</t>
  </si>
  <si>
    <t xml:space="preserve">BH-B008</t>
  </si>
  <si>
    <t xml:space="preserve">Thiago Mendes Souza</t>
  </si>
  <si>
    <t xml:space="preserve">BH-B009</t>
  </si>
  <si>
    <t xml:space="preserve">João Nunes Ribeiro</t>
  </si>
  <si>
    <t xml:space="preserve">BH-B010</t>
  </si>
  <si>
    <t xml:space="preserve">Carla Oliveira Ferreira</t>
  </si>
  <si>
    <t xml:space="preserve">BH-B011</t>
  </si>
  <si>
    <t xml:space="preserve">Priscila Lopes Costa</t>
  </si>
  <si>
    <t xml:space="preserve">BH-B012</t>
  </si>
  <si>
    <t xml:space="preserve">Karina Rodrigues Araújo</t>
  </si>
  <si>
    <t xml:space="preserve">BH-B013</t>
  </si>
  <si>
    <t xml:space="preserve">Diego Ribeiro Rocha</t>
  </si>
  <si>
    <t xml:space="preserve">BH-B014</t>
  </si>
  <si>
    <t xml:space="preserve">Bruno Gomes Teixeira</t>
  </si>
  <si>
    <t xml:space="preserve">BH-B015</t>
  </si>
  <si>
    <t xml:space="preserve">Rodrigo Mendes Freitas</t>
  </si>
  <si>
    <t xml:space="preserve">BH-B016</t>
  </si>
  <si>
    <t xml:space="preserve">Thiago Oliveira Costa</t>
  </si>
  <si>
    <t xml:space="preserve">BH-B017</t>
  </si>
  <si>
    <t xml:space="preserve">Otávio Silva Vieira</t>
  </si>
  <si>
    <t xml:space="preserve">codigo</t>
  </si>
  <si>
    <t xml:space="preserve">item</t>
  </si>
  <si>
    <t xml:space="preserve">categoria</t>
  </si>
  <si>
    <t xml:space="preserve">local</t>
  </si>
  <si>
    <t xml:space="preserve">quantidade</t>
  </si>
  <si>
    <t xml:space="preserve">BSB-EXT-001</t>
  </si>
  <si>
    <t xml:space="preserve">Extintor PQS ABC 6 kg</t>
  </si>
  <si>
    <t xml:space="preserve">Extintor</t>
  </si>
  <si>
    <t xml:space="preserve">Almoxarifado</t>
  </si>
  <si>
    <t xml:space="preserve">BSB-EXT-002</t>
  </si>
  <si>
    <t xml:space="preserve">Sala de servidores</t>
  </si>
  <si>
    <t xml:space="preserve">BSB-EXT-003</t>
  </si>
  <si>
    <t xml:space="preserve">Extintor CO₂ 6 kg</t>
  </si>
  <si>
    <t xml:space="preserve">Bloco A – térreo</t>
  </si>
  <si>
    <t xml:space="preserve">BSB-EXT-004</t>
  </si>
  <si>
    <t xml:space="preserve">Extintor água pressurizada 10 L</t>
  </si>
  <si>
    <t xml:space="preserve">Oficina de manutenção</t>
  </si>
  <si>
    <t xml:space="preserve">BSB-EXT-005</t>
  </si>
  <si>
    <t xml:space="preserve">Recepção</t>
  </si>
  <si>
    <t xml:space="preserve">BSB-EXT-006</t>
  </si>
  <si>
    <t xml:space="preserve">BSB-HID-001</t>
  </si>
  <si>
    <t xml:space="preserve">Mangueira de hidrante 15 m</t>
  </si>
  <si>
    <t xml:space="preserve">Hidrante</t>
  </si>
  <si>
    <t xml:space="preserve">BSB-EPI-001</t>
  </si>
  <si>
    <t xml:space="preserve">Máscara PFF2 (lote)</t>
  </si>
  <si>
    <t xml:space="preserve">EPI</t>
  </si>
  <si>
    <t xml:space="preserve">BSB-EPI-002</t>
  </si>
  <si>
    <t xml:space="preserve">Luva nitrílica (lote)</t>
  </si>
  <si>
    <t xml:space="preserve">Bloco B – operação</t>
  </si>
  <si>
    <t xml:space="preserve">BSB-EPI-003</t>
  </si>
  <si>
    <t xml:space="preserve">Protetor auricular tipo plug (lote)</t>
  </si>
  <si>
    <t xml:space="preserve">Bloco A – 1º andar</t>
  </si>
  <si>
    <t xml:space="preserve">BSB-EPI-004</t>
  </si>
  <si>
    <t xml:space="preserve">Capacete de segurança classe B</t>
  </si>
  <si>
    <t xml:space="preserve">BSB-EPI-005</t>
  </si>
  <si>
    <t xml:space="preserve">Óculos de proteção incolor (lote)</t>
  </si>
  <si>
    <t xml:space="preserve">BSB-EPI-006</t>
  </si>
  <si>
    <t xml:space="preserve">Cinto paraquedista com talabarte</t>
  </si>
  <si>
    <t xml:space="preserve">BSB-KIT-001</t>
  </si>
  <si>
    <t xml:space="preserve">Kit de primeiros socorros</t>
  </si>
  <si>
    <t xml:space="preserve">Kit</t>
  </si>
  <si>
    <t xml:space="preserve">BSB-KIT-002</t>
  </si>
  <si>
    <t xml:space="preserve">Kit de contenção de derramamento</t>
  </si>
  <si>
    <t xml:space="preserve">BSB-EMG-001</t>
  </si>
  <si>
    <t xml:space="preserve">Eletrodos do desfibrilador (DEA)</t>
  </si>
  <si>
    <t xml:space="preserve">Emergência</t>
  </si>
  <si>
    <t xml:space="preserve">BSB-EMG-002</t>
  </si>
  <si>
    <t xml:space="preserve">Luminária de emergência (bateria)</t>
  </si>
  <si>
    <t xml:space="preserve">SP-EXT-001</t>
  </si>
  <si>
    <t xml:space="preserve">SP-EXT-002</t>
  </si>
  <si>
    <t xml:space="preserve">SP-EXT-003</t>
  </si>
  <si>
    <t xml:space="preserve">Refeitório</t>
  </si>
  <si>
    <t xml:space="preserve">SP-EXT-004</t>
  </si>
  <si>
    <t xml:space="preserve">SP-EXT-005</t>
  </si>
  <si>
    <t xml:space="preserve">SP-EXT-006</t>
  </si>
  <si>
    <t xml:space="preserve">SP-HID-001</t>
  </si>
  <si>
    <t xml:space="preserve">SP-EPI-001</t>
  </si>
  <si>
    <t xml:space="preserve">SP-EPI-002</t>
  </si>
  <si>
    <t xml:space="preserve">SP-EPI-003</t>
  </si>
  <si>
    <t xml:space="preserve">Doca de expedição</t>
  </si>
  <si>
    <t xml:space="preserve">SP-EPI-004</t>
  </si>
  <si>
    <t xml:space="preserve">SP-EPI-005</t>
  </si>
  <si>
    <t xml:space="preserve">SP-EPI-006</t>
  </si>
  <si>
    <t xml:space="preserve">SP-KIT-001</t>
  </si>
  <si>
    <t xml:space="preserve">SP-KIT-002</t>
  </si>
  <si>
    <t xml:space="preserve">SP-EMG-001</t>
  </si>
  <si>
    <t xml:space="preserve">SP-EMG-002</t>
  </si>
  <si>
    <t xml:space="preserve">GYN-EXT-001</t>
  </si>
  <si>
    <t xml:space="preserve">GYN-EXT-002</t>
  </si>
  <si>
    <t xml:space="preserve">GYN-EXT-003</t>
  </si>
  <si>
    <t xml:space="preserve">GYN-EXT-004</t>
  </si>
  <si>
    <t xml:space="preserve">GYN-EXT-005</t>
  </si>
  <si>
    <t xml:space="preserve">GYN-HID-001</t>
  </si>
  <si>
    <t xml:space="preserve">GYN-EPI-001</t>
  </si>
  <si>
    <t xml:space="preserve">GYN-EPI-002</t>
  </si>
  <si>
    <t xml:space="preserve">GYN-EPI-003</t>
  </si>
  <si>
    <t xml:space="preserve">GYN-EPI-004</t>
  </si>
  <si>
    <t xml:space="preserve">GYN-EPI-005</t>
  </si>
  <si>
    <t xml:space="preserve">GYN-EPI-006</t>
  </si>
  <si>
    <t xml:space="preserve">GYN-KIT-001</t>
  </si>
  <si>
    <t xml:space="preserve">GYN-KIT-002</t>
  </si>
  <si>
    <t xml:space="preserve">GYN-EMG-001</t>
  </si>
  <si>
    <t xml:space="preserve">GYN-EMG-002</t>
  </si>
  <si>
    <t xml:space="preserve">BH-EXT-001</t>
  </si>
  <si>
    <t xml:space="preserve">BH-EXT-002</t>
  </si>
  <si>
    <t xml:space="preserve">BH-EXT-003</t>
  </si>
  <si>
    <t xml:space="preserve">BH-EXT-004</t>
  </si>
  <si>
    <t xml:space="preserve">BH-EXT-005</t>
  </si>
  <si>
    <t xml:space="preserve">BH-EXT-006</t>
  </si>
  <si>
    <t xml:space="preserve">BH-HID-001</t>
  </si>
  <si>
    <t xml:space="preserve">BH-EPI-001</t>
  </si>
  <si>
    <t xml:space="preserve">BH-EPI-002</t>
  </si>
  <si>
    <t xml:space="preserve">BH-EPI-003</t>
  </si>
  <si>
    <t xml:space="preserve">BH-EPI-004</t>
  </si>
  <si>
    <t xml:space="preserve">BH-EPI-005</t>
  </si>
  <si>
    <t xml:space="preserve">BH-EPI-006</t>
  </si>
  <si>
    <t xml:space="preserve">BH-KIT-001</t>
  </si>
  <si>
    <t xml:space="preserve">BH-KIT-002</t>
  </si>
  <si>
    <t xml:space="preserve">BH-EMG-001</t>
  </si>
  <si>
    <t xml:space="preserve">BH-EMG-002</t>
  </si>
  <si>
    <t xml:space="preserve">documento</t>
  </si>
  <si>
    <t xml:space="preserve">norma</t>
  </si>
  <si>
    <t xml:space="preserve">responsavel</t>
  </si>
  <si>
    <t xml:space="preserve">periodicidade</t>
  </si>
  <si>
    <t xml:space="preserve">data_ultima_revisao</t>
  </si>
  <si>
    <t xml:space="preserve">data_proxima_revisao</t>
  </si>
  <si>
    <t xml:space="preserve">dias_para_revisao</t>
  </si>
  <si>
    <t xml:space="preserve">vigencia</t>
  </si>
  <si>
    <t xml:space="preserve">status_fluxo</t>
  </si>
  <si>
    <t xml:space="preserve">progresso_fluxo</t>
  </si>
  <si>
    <t xml:space="preserve">PGR</t>
  </si>
  <si>
    <t xml:space="preserve">Programa de Gerenciamento de Riscos</t>
  </si>
  <si>
    <t xml:space="preserve">Programa</t>
  </si>
  <si>
    <t xml:space="preserve">NR-1</t>
  </si>
  <si>
    <t xml:space="preserve">Eng. de Segurança</t>
  </si>
  <si>
    <t xml:space="preserve">Bienal ou por mudança no processo</t>
  </si>
  <si>
    <t xml:space="preserve">Atualizado</t>
  </si>
  <si>
    <t xml:space="preserve">PCMSO</t>
  </si>
  <si>
    <t xml:space="preserve">Programa de Controle Médico de Saúde Ocupacional</t>
  </si>
  <si>
    <t xml:space="preserve">NR-7</t>
  </si>
  <si>
    <t xml:space="preserve">Médico do Trabalho</t>
  </si>
  <si>
    <t xml:space="preserve">Anual (relatório analítico)</t>
  </si>
  <si>
    <t xml:space="preserve">LTCAT</t>
  </si>
  <si>
    <t xml:space="preserve">Laudo Técnico das Condições Ambientais do Trabalho</t>
  </si>
  <si>
    <t xml:space="preserve">Laudo</t>
  </si>
  <si>
    <t xml:space="preserve">Lei 8.213/91 · NR-15</t>
  </si>
  <si>
    <t xml:space="preserve">Anual ou por mudança no ambiente</t>
  </si>
  <si>
    <t xml:space="preserve">AET</t>
  </si>
  <si>
    <t xml:space="preserve">Análise Ergonômica do Trabalho</t>
  </si>
  <si>
    <t xml:space="preserve">NR-17</t>
  </si>
  <si>
    <t xml:space="preserve">Ergonomista</t>
  </si>
  <si>
    <t xml:space="preserve">Bienal</t>
  </si>
  <si>
    <t xml:space="preserve">PAE</t>
  </si>
  <si>
    <t xml:space="preserve">Plano de Atendimento a Emergências</t>
  </si>
  <si>
    <t xml:space="preserve">Plano</t>
  </si>
  <si>
    <t xml:space="preserve">NR-23</t>
  </si>
  <si>
    <t xml:space="preserve">Coord. da Brigada</t>
  </si>
  <si>
    <t xml:space="preserve">Anual</t>
  </si>
  <si>
    <t xml:space="preserve">POP-SST-01</t>
  </si>
  <si>
    <t xml:space="preserve">Investigação e análise de acidentes</t>
  </si>
  <si>
    <t xml:space="preserve">POP</t>
  </si>
  <si>
    <t xml:space="preserve">Téc. de Segurança</t>
  </si>
  <si>
    <t xml:space="preserve">POP-SST-02</t>
  </si>
  <si>
    <t xml:space="preserve">Entrega, guarda e substituição de EPI</t>
  </si>
  <si>
    <t xml:space="preserve">NR-6</t>
  </si>
  <si>
    <t xml:space="preserve">POP-SST-03</t>
  </si>
  <si>
    <t xml:space="preserve">Inspeção mensal de extintores e hidrantes</t>
  </si>
  <si>
    <t xml:space="preserve">POP-SST-04</t>
  </si>
  <si>
    <t xml:space="preserve">Emissão de CAT e envio ao eSocial (S-2210)</t>
  </si>
  <si>
    <t xml:space="preserve">eSocial</t>
  </si>
  <si>
    <t xml:space="preserve">Gestão de Pessoas</t>
  </si>
  <si>
    <t xml:space="preserve">FLX-SST-01</t>
  </si>
  <si>
    <t xml:space="preserve">Fluxo de exames ocupacionais (ASO)</t>
  </si>
  <si>
    <t xml:space="preserve">Fluxo</t>
  </si>
  <si>
    <t xml:space="preserve">Medicina do Trabalho</t>
  </si>
  <si>
    <t xml:space="preserve">Em revisão</t>
  </si>
  <si>
    <t xml:space="preserve">FLX-SST-02</t>
  </si>
  <si>
    <t xml:space="preserve">Fluxo de permissão para trabalho de risco</t>
  </si>
  <si>
    <t xml:space="preserve">NR-10 / NR-35</t>
  </si>
  <si>
    <t xml:space="preserve">Desatualizado</t>
  </si>
  <si>
    <t xml:space="preserve">PGR-OBRA</t>
  </si>
  <si>
    <t xml:space="preserve">PGR da obra de ampliação do galpão (substitui o PCMAT)</t>
  </si>
  <si>
    <t xml:space="preserve">NR-18</t>
  </si>
  <si>
    <t xml:space="preserve">A cada nova etapa da obra</t>
  </si>
  <si>
    <t xml:space="preserve">dimensao</t>
  </si>
  <si>
    <t xml:space="preserve">nota_ciclo_anterior</t>
  </si>
  <si>
    <t xml:space="preserve">nota_ciclo_atual</t>
  </si>
  <si>
    <t xml:space="preserve">variacao</t>
  </si>
  <si>
    <t xml:space="preserve">Percepção de risco</t>
  </si>
  <si>
    <t xml:space="preserve">Eficácia dos treinamentos</t>
  </si>
  <si>
    <t xml:space="preserve">Segurança psicológica</t>
  </si>
  <si>
    <t xml:space="preserve">Liderança engajada em SST</t>
  </si>
  <si>
    <t xml:space="preserve">Comunicação de riscos</t>
  </si>
  <si>
    <t xml:space="preserve">Adequação dos EPIs</t>
  </si>
  <si>
    <t xml:space="preserve">Confiança no canal de reporte</t>
  </si>
  <si>
    <t xml:space="preserve">nota_media</t>
  </si>
  <si>
    <t xml:space="preserve">ordem_ciclo</t>
  </si>
  <si>
    <t xml:space="preserve">ciclo</t>
  </si>
  <si>
    <t xml:space="preserve">nota_geral</t>
  </si>
  <si>
    <t xml:space="preserve">1º sem./2025</t>
  </si>
  <si>
    <t xml:space="preserve">data_referencia</t>
  </si>
  <si>
    <t xml:space="preserve">dias_perdidos_12m</t>
  </si>
  <si>
    <t xml:space="preserve">dias_sem_acidente_caf</t>
  </si>
  <si>
    <t xml:space="preserve">conformidade_nr1</t>
  </si>
  <si>
    <t xml:space="preserve">trust_index</t>
  </si>
  <si>
    <t xml:space="preserve">horas_treinamento_sst_colab</t>
  </si>
  <si>
    <t xml:space="preserve">ncs_abertas_auditoria</t>
  </si>
  <si>
    <t xml:space="preserve">investigacoes_no_prazo</t>
  </si>
  <si>
    <t xml:space="preserve">absenteismo</t>
  </si>
  <si>
    <t xml:space="preserve">turnover_voluntario</t>
  </si>
  <si>
    <t xml:space="preserve">brigadistas_exigidos</t>
  </si>
  <si>
    <t xml:space="preserve">respondentes_pesquisa</t>
  </si>
  <si>
    <t xml:space="preserve">periodicos_total</t>
  </si>
  <si>
    <t xml:space="preserve">periodicos_vencidos</t>
  </si>
  <si>
    <t xml:space="preserve">periodicos_a_vencer_30d</t>
  </si>
  <si>
    <t xml:space="preserve">desligamentos_12m</t>
  </si>
  <si>
    <t xml:space="preserve">ppp_emitidos</t>
  </si>
  <si>
    <t xml:space="preserve">funcao</t>
  </si>
  <si>
    <t xml:space="preserve">exigido</t>
  </si>
  <si>
    <t xml:space="preserve">existente</t>
  </si>
  <si>
    <t xml:space="preserve">deficit</t>
  </si>
  <si>
    <t xml:space="preserve">Técnico de Segurança do Trabalho</t>
  </si>
  <si>
    <t xml:space="preserve">Engenheiro de Segurança do Trabalho</t>
  </si>
  <si>
    <t xml:space="preserve">Aux./Téc. de Enfermagem do Trabalho</t>
  </si>
  <si>
    <t xml:space="preserve">Enfermeiro do Trabalho</t>
  </si>
  <si>
    <t xml:space="preserve">tipo_aso</t>
  </si>
  <si>
    <t xml:space="preserve">no_prazo</t>
  </si>
  <si>
    <t xml:space="preserve">fora_do_prazo</t>
  </si>
  <si>
    <t xml:space="preserve">total</t>
  </si>
  <si>
    <t xml:space="preserve">Admissional</t>
  </si>
  <si>
    <t xml:space="preserve">Periódico</t>
  </si>
  <si>
    <t xml:space="preserve">Retorno ao trabalho</t>
  </si>
  <si>
    <t xml:space="preserve">Mudança de risco</t>
  </si>
  <si>
    <t xml:space="preserve">Demissional</t>
  </si>
  <si>
    <t xml:space="preserve">data_ultimo_periodico</t>
  </si>
  <si>
    <t xml:space="preserve">data_vencimento</t>
  </si>
  <si>
    <t xml:space="preserve">Caio Carvalho Pereira</t>
  </si>
  <si>
    <t xml:space="preserve">Eletricista</t>
  </si>
  <si>
    <t xml:space="preserve">Lucas Moreira Lopes</t>
  </si>
  <si>
    <t xml:space="preserve">Técnico de manutenção</t>
  </si>
  <si>
    <t xml:space="preserve">Yasmin Ferreira Souza</t>
  </si>
  <si>
    <t xml:space="preserve">Mariana Rodrigues Silva</t>
  </si>
  <si>
    <t xml:space="preserve">Conferente</t>
  </si>
  <si>
    <t xml:space="preserve">Wesley Dias Cardoso</t>
  </si>
  <si>
    <t xml:space="preserve">Analista de TI</t>
  </si>
  <si>
    <t xml:space="preserve">Rodrigo Teixeira Pereira</t>
  </si>
  <si>
    <t xml:space="preserve">Priscila Costa Dias</t>
  </si>
  <si>
    <t xml:space="preserve">Eduarda Costa Moreira</t>
  </si>
  <si>
    <t xml:space="preserve">Assistente administrativo</t>
  </si>
  <si>
    <t xml:space="preserve">Eduarda Cardoso Costa</t>
  </si>
  <si>
    <t xml:space="preserve">Otávio Vieira Barbosa</t>
  </si>
  <si>
    <t xml:space="preserve">Atendente</t>
  </si>
  <si>
    <t xml:space="preserve">Vanessa Pereira Rocha</t>
  </si>
  <si>
    <t xml:space="preserve">Rodrigo Barbosa Gomes</t>
  </si>
  <si>
    <t xml:space="preserve">Auxiliar de logística</t>
  </si>
  <si>
    <t xml:space="preserve">Caio Martins Costa</t>
  </si>
  <si>
    <t xml:space="preserve">Tatiane Silva Almeida</t>
  </si>
  <si>
    <t xml:space="preserve">Priscila Ferreira Vieira</t>
  </si>
  <si>
    <t xml:space="preserve">Isabela Souza Rocha</t>
  </si>
  <si>
    <t xml:space="preserve">Fábio Mendes Souza</t>
  </si>
  <si>
    <t xml:space="preserve">Otávio Vieira Ferreira</t>
  </si>
  <si>
    <t xml:space="preserve">Sabrina Rocha Ferreira</t>
  </si>
  <si>
    <t xml:space="preserve">Sabrina Araújo Costa</t>
  </si>
  <si>
    <t xml:space="preserve">Fábio Rodrigues Souza</t>
  </si>
  <si>
    <t xml:space="preserve">Eduarda Almeida Mendes</t>
  </si>
  <si>
    <t xml:space="preserve">Caio Silva Cardoso</t>
  </si>
  <si>
    <t xml:space="preserve">Gabriela Teixeira Ribeiro</t>
  </si>
  <si>
    <t xml:space="preserve">Bruno Lopes Oliveira</t>
  </si>
  <si>
    <t xml:space="preserve">Débora Ribeiro Moreira</t>
  </si>
  <si>
    <t xml:space="preserve">Henrique Barbosa Mendes</t>
  </si>
  <si>
    <t xml:space="preserve">Patrícia Gomes Costa</t>
  </si>
  <si>
    <t xml:space="preserve">Eduarda Mendes Ribeiro</t>
  </si>
  <si>
    <t xml:space="preserve">Felipe Pereira Gomes</t>
  </si>
  <si>
    <t xml:space="preserve">Mariana Rodrigues Dias</t>
  </si>
  <si>
    <t xml:space="preserve">Thiago Martins Ferreira</t>
  </si>
  <si>
    <t xml:space="preserve">Yasmin Cardoso Araújo</t>
  </si>
  <si>
    <t xml:space="preserve">Operador de produção</t>
  </si>
  <si>
    <t xml:space="preserve">Débora Pereira Oliveira</t>
  </si>
  <si>
    <t xml:space="preserve">Rodrigo Araújo Teixeira</t>
  </si>
  <si>
    <t xml:space="preserve">Rodrigo Vieira Rocha</t>
  </si>
  <si>
    <t xml:space="preserve">Patrícia Rodrigues Carvalho</t>
  </si>
  <si>
    <t xml:space="preserve">Isabela Nunes Lopes</t>
  </si>
  <si>
    <t xml:space="preserve">Rodrigo Souza Almeida</t>
  </si>
  <si>
    <t xml:space="preserve">Yasmin Martins Ribeiro</t>
  </si>
  <si>
    <t xml:space="preserve">Patrícia Moreira Teixeira</t>
  </si>
  <si>
    <t xml:space="preserve">Mariana Carvalho Moreira</t>
  </si>
  <si>
    <t xml:space="preserve">Yasmin Barbosa Oliveira</t>
  </si>
  <si>
    <t xml:space="preserve">Diego Mendes Rocha</t>
  </si>
  <si>
    <t xml:space="preserve">Fábio Cardoso Freitas</t>
  </si>
  <si>
    <t xml:space="preserve">João Nunes Nunes</t>
  </si>
  <si>
    <t xml:space="preserve">Fábio Ferreira Moreira</t>
  </si>
  <si>
    <t xml:space="preserve">Karina Lopes Rodrigues</t>
  </si>
  <si>
    <t xml:space="preserve">exame</t>
  </si>
  <si>
    <t xml:space="preserve">programados</t>
  </si>
  <si>
    <t xml:space="preserve">realizados</t>
  </si>
  <si>
    <t xml:space="preserve">pct_realizado</t>
  </si>
  <si>
    <t xml:space="preserve">Audiometria</t>
  </si>
  <si>
    <t xml:space="preserve">Hemograma completo</t>
  </si>
  <si>
    <t xml:space="preserve">Glicemia de jejum</t>
  </si>
  <si>
    <t xml:space="preserve">Acuidade visual</t>
  </si>
  <si>
    <t xml:space="preserve">Espirometria</t>
  </si>
  <si>
    <t xml:space="preserve">Raio-X de tórax (padrão OIT)</t>
  </si>
  <si>
    <t xml:space="preserve">grupo_causa</t>
  </si>
  <si>
    <t xml:space="preserve">dias_afastamento</t>
  </si>
  <si>
    <t xml:space="preserve">Osteomuscular</t>
  </si>
  <si>
    <t xml:space="preserve">Saúde mental</t>
  </si>
  <si>
    <t xml:space="preserve">Acidente de trabalho</t>
  </si>
  <si>
    <t xml:space="preserve">Respiratório</t>
  </si>
  <si>
    <t xml:space="preserve">Outros</t>
  </si>
  <si>
    <t xml:space="preserve">agente</t>
  </si>
  <si>
    <t xml:space="preserve">referencia_nr15</t>
  </si>
  <si>
    <t xml:space="preserve">setores_expostos</t>
  </si>
  <si>
    <t xml:space="preserve">trabalhadores_expostos</t>
  </si>
  <si>
    <t xml:space="preserve">grau_insalubridade</t>
  </si>
  <si>
    <t xml:space="preserve">medicoes_acima_limite</t>
  </si>
  <si>
    <t xml:space="preserve">situacao_controle</t>
  </si>
  <si>
    <t xml:space="preserve">Ruído contínuo ou intermitente</t>
  </si>
  <si>
    <t xml:space="preserve">Anexo 1</t>
  </si>
  <si>
    <t xml:space="preserve">Operações, Manutenção</t>
  </si>
  <si>
    <t xml:space="preserve">Médio (20%)</t>
  </si>
  <si>
    <t xml:space="preserve">Calor</t>
  </si>
  <si>
    <t xml:space="preserve">Anexo 3</t>
  </si>
  <si>
    <t xml:space="preserve">Manutenção, Logística</t>
  </si>
  <si>
    <t xml:space="preserve">Vibração</t>
  </si>
  <si>
    <t xml:space="preserve">Anexo 8</t>
  </si>
  <si>
    <t xml:space="preserve">Hidrocarbonetos e óleos minerais</t>
  </si>
  <si>
    <t xml:space="preserve">Anexo 13</t>
  </si>
  <si>
    <t xml:space="preserve">Máximo (40%)</t>
  </si>
  <si>
    <t xml:space="preserve">Agentes biológicos</t>
  </si>
  <si>
    <t xml:space="preserve">Anexo 14</t>
  </si>
  <si>
    <t xml:space="preserve">evento</t>
  </si>
  <si>
    <t xml:space="preserve">descricao</t>
  </si>
  <si>
    <t xml:space="preserve">prazo_envio</t>
  </si>
  <si>
    <t xml:space="preserve">enviados</t>
  </si>
  <si>
    <t xml:space="preserve">pendentes</t>
  </si>
  <si>
    <t xml:space="preserve">rejeitados</t>
  </si>
  <si>
    <t xml:space="preserve">S-2210</t>
  </si>
  <si>
    <t xml:space="preserve">Comunicação de Acidente de Trabalho (CAT)</t>
  </si>
  <si>
    <t xml:space="preserve">Até o 1º dia útil após o acidente; imediato em caso de óbito</t>
  </si>
  <si>
    <t xml:space="preserve">S-2220</t>
  </si>
  <si>
    <t xml:space="preserve">Monitoramento da saúde do trabalhador (ASO)</t>
  </si>
  <si>
    <t xml:space="preserve">Até o dia 15 do mês seguinte ao exame</t>
  </si>
  <si>
    <t xml:space="preserve">S-2240</t>
  </si>
  <si>
    <t xml:space="preserve">Condições ambientais do trabalho (agentes nocivos)</t>
  </si>
  <si>
    <t xml:space="preserve">Até o dia 15 do mês seguinte ao início ou alteração</t>
  </si>
  <si>
    <t xml:space="preserve">id_indicador</t>
  </si>
  <si>
    <t xml:space="preserve">indicador</t>
  </si>
  <si>
    <t xml:space="preserve">meta</t>
  </si>
  <si>
    <t xml:space="preserve">sentido</t>
  </si>
  <si>
    <t xml:space="preserve">unidade_medida</t>
  </si>
  <si>
    <t xml:space="preserve">selos_afetados</t>
  </si>
  <si>
    <t xml:space="preserve">bloqueante_para</t>
  </si>
  <si>
    <t xml:space="preserve">sugestao_melhoria</t>
  </si>
  <si>
    <t xml:space="preserve">trust</t>
  </si>
  <si>
    <t xml:space="preserve">Trust Index (% de respostas favoráveis)</t>
  </si>
  <si>
    <t xml:space="preserve">Maior ou igual</t>
  </si>
  <si>
    <t xml:space="preserve">Percentual</t>
  </si>
  <si>
    <t xml:space="preserve">GPTW</t>
  </si>
  <si>
    <t xml:space="preserve">Divulgar o resultado por área em até 30 dias, construir planos de ação com as próprias equipes e priorizar os temas de menor favorabilidade, como reconhecimento, imparcialidade e comunicação da liderança.</t>
  </si>
  <si>
    <t xml:space="preserve">psi</t>
  </si>
  <si>
    <t xml:space="preserve">Segurança psicológica (nota da pesquisa)</t>
  </si>
  <si>
    <t xml:space="preserve">Nota de 0 a 10</t>
  </si>
  <si>
    <t xml:space="preserve">GPTW, ISO 45001, ESG</t>
  </si>
  <si>
    <t xml:space="preserve">Incluir os fatores de risco psicossociais no inventário do PGR, capacitar as lideranças em escuta ativa e garantir anonimato e devolutiva no canal de reporte.</t>
  </si>
  <si>
    <t xml:space="preserve">nr1</t>
  </si>
  <si>
    <t xml:space="preserve">Conformidade NR-1 / GRO</t>
  </si>
  <si>
    <t xml:space="preserve">ISO 45001, ESG</t>
  </si>
  <si>
    <t xml:space="preserve">Tratar os itens não conformes do checklist do GRO por ordem de risco, atualizar o plano de ação do PGR com responsáveis e prazos e registrar as evidências de implementação.</t>
  </si>
  <si>
    <t xml:space="preserve">tf</t>
  </si>
  <si>
    <t xml:space="preserve">Taxa de frequência de acidentes com afastamento</t>
  </si>
  <si>
    <t xml:space="preserve">Menor ou igual</t>
  </si>
  <si>
    <t xml:space="preserve">Número</t>
  </si>
  <si>
    <t xml:space="preserve">Reforçar a análise de causa raiz dos acidentes, ampliar as inspeções comportamentais nos setores de maior exposição e revisar as permissões para trabalho de risco.</t>
  </si>
  <si>
    <t xml:space="preserve">horas</t>
  </si>
  <si>
    <t xml:space="preserve">Horas de treinamento em SST por colaborador/ano</t>
  </si>
  <si>
    <t xml:space="preserve">Horas por colaborador</t>
  </si>
  <si>
    <t xml:space="preserve">ISO 45001, ESG, GPTW</t>
  </si>
  <si>
    <t xml:space="preserve">Montar trilha anual obrigatória por função, com integração, NRs aplicáveis e reciclagens em formatos curtos, e acompanhar a presença por unidade.</t>
  </si>
  <si>
    <t xml:space="preserve">ncs</t>
  </si>
  <si>
    <t xml:space="preserve">Não conformidades abertas na auditoria interna de SST</t>
  </si>
  <si>
    <t xml:space="preserve">Quantidade por unidade (no consolidado: 3 × nº de unidades)</t>
  </si>
  <si>
    <t xml:space="preserve">ISO 45001</t>
  </si>
  <si>
    <t xml:space="preserve">Fazer mutirão de tratamento das não conformidades com análise de causa, definir responsável e prazo para cada uma e verificar a eficácia antes da auditoria externa.</t>
  </si>
  <si>
    <t xml:space="preserve">invest</t>
  </si>
  <si>
    <t xml:space="preserve">Investigações de incidentes concluídas no prazo</t>
  </si>
  <si>
    <t xml:space="preserve">Padronizar o prazo no POP de investigação de acidentes, automatizar lembretes e envolver a CIPA e os trabalhadores na análise.</t>
  </si>
  <si>
    <t xml:space="preserve">abs</t>
  </si>
  <si>
    <t xml:space="preserve">Taxa de absenteísmo</t>
  </si>
  <si>
    <t xml:space="preserve">ESG, GPTW</t>
  </si>
  <si>
    <t xml:space="preserve">Analisar os afastamentos por setor e por causa com os dados agregados do PCMSO e concentrar as ações de saúde onde a incidência é maior.</t>
  </si>
  <si>
    <t xml:space="preserve">part</t>
  </si>
  <si>
    <t xml:space="preserve">Participação na pesquisa de clima de segurança</t>
  </si>
  <si>
    <t xml:space="preserve">Ampliar a janela de coleta, oferecer acesso pelo celular e por totens às equipes operacionais e reforçar a garantia de confidencialidade.</t>
  </si>
  <si>
    <t xml:space="preserve">brig</t>
  </si>
  <si>
    <t xml:space="preserve">Brigadistas com treinamento válido</t>
  </si>
  <si>
    <t xml:space="preserve">Agendar a reciclagem imediata dos brigadistas vencidos e recrutar voluntários nos turnos com menor cobertura.</t>
  </si>
  <si>
    <t xml:space="preserve">turn</t>
  </si>
  <si>
    <t xml:space="preserve">Turnover voluntário (12 meses)</t>
  </si>
  <si>
    <t xml:space="preserve">GPTW, ESG</t>
  </si>
  <si>
    <t xml:space="preserve">Aplicar entrevistas de desligamento estruturadas e cruzar os motivos de saída com os resultados da pesquisa de clima.</t>
  </si>
  <si>
    <t xml:space="preserve">docs</t>
  </si>
  <si>
    <t xml:space="preserve">Documentos de SST vigentes</t>
  </si>
  <si>
    <t xml:space="preserve">Priorizar a revisão dos documentos vencidos e manter calendário de revisões com alerta automático 90 dias antes do prazo.</t>
  </si>
  <si>
    <t xml:space="preserve">Conferência: indicadores recalculados a partir das tabelas × valores exibidos no painel (consolidado, todas as unidades)</t>
  </si>
  <si>
    <t xml:space="preserve">Coluna C: fórmulas sobre as tabelas desta base. Coluna D (azul): valor exibido no painel HTML, copiado do relatório. Coluna E: diferença.</t>
  </si>
  <si>
    <t xml:space="preserve">Indicador</t>
  </si>
  <si>
    <t xml:space="preserve">Regra de cálculo</t>
  </si>
  <si>
    <t xml:space="preserve">Calculado na base</t>
  </si>
  <si>
    <t xml:space="preserve">Valor no painel</t>
  </si>
  <si>
    <t xml:space="preserve">Diferença</t>
  </si>
  <si>
    <t xml:space="preserve">Colaboradores</t>
  </si>
  <si>
    <t xml:space="preserve">Soma de dUnidade[colaboradores]</t>
  </si>
  <si>
    <t xml:space="preserve">Taxa de frequência (CAF)</t>
  </si>
  <si>
    <t xml:space="preserve">Acidentes CAF ÷ horas-homem × 1.000.000</t>
  </si>
  <si>
    <t xml:space="preserve">Taxa de gravidade</t>
  </si>
  <si>
    <t xml:space="preserve">Dias perdidos ÷ horas-homem × 1.000.000</t>
  </si>
  <si>
    <t xml:space="preserve">Conformidade NR-1</t>
  </si>
  <si>
    <t xml:space="preserve">Média ponderada pelo efetivo</t>
  </si>
  <si>
    <t xml:space="preserve">Não vencidos ÷ exigidos (limitado a 100%)</t>
  </si>
  <si>
    <t xml:space="preserve">Equipamentos vencidos</t>
  </si>
  <si>
    <t xml:space="preserve">Contagem de situação = Vencido</t>
  </si>
  <si>
    <t xml:space="preserve">Documentos fora da vigência</t>
  </si>
  <si>
    <t xml:space="preserve">Contagem de vigência = Vencido</t>
  </si>
  <si>
    <t xml:space="preserve">Nota de percepção de segurança</t>
  </si>
  <si>
    <t xml:space="preserve">Média das dimensões ponderada pelos respondentes</t>
  </si>
  <si>
    <t xml:space="preserve">Cobertura do SESMT</t>
  </si>
  <si>
    <t xml:space="preserve">(Exigido − déficit) ÷ exigido</t>
  </si>
  <si>
    <t xml:space="preserve">ASOs periódicos em dia</t>
  </si>
  <si>
    <t xml:space="preserve">1 − vencidos ÷ total previsto</t>
  </si>
  <si>
    <t xml:space="preserve">PPP disponível nos desligamentos</t>
  </si>
  <si>
    <t xml:space="preserve">PPP emitidos ÷ desligamentos</t>
  </si>
  <si>
    <t xml:space="preserve">Resultado da conferência</t>
  </si>
  <si>
    <t xml:space="preserve">Observação: notas e percentuais das tabelas estão arredondados (2 e 4 casas); diferenças abaixo de 0,01 vêm só desse arredondamento.</t>
  </si>
  <si>
    <t xml:space="preserve">tabela</t>
  </si>
  <si>
    <t xml:space="preserve">coluna</t>
  </si>
  <si>
    <t xml:space="preserve">relacionamento</t>
  </si>
  <si>
    <t xml:space="preserve">Texto (chave)</t>
  </si>
  <si>
    <t xml:space="preserve">Sigla da unidade</t>
  </si>
  <si>
    <t xml:space="preserve">Texto</t>
  </si>
  <si>
    <t xml:space="preserve">Nome completo da unidade</t>
  </si>
  <si>
    <t xml:space="preserve">Matriz ou Filial</t>
  </si>
  <si>
    <t xml:space="preserve">Cidade</t>
  </si>
  <si>
    <t xml:space="preserve">Unidade da Federação</t>
  </si>
  <si>
    <t xml:space="preserve">Inteiro</t>
  </si>
  <si>
    <t xml:space="preserve">Efetivo atual</t>
  </si>
  <si>
    <t xml:space="preserve">Horas-homem trabalhadas em 12 meses (colaboradores × 1980 h)</t>
  </si>
  <si>
    <t xml:space="preserve">Grau de risco da atividade (NR-4), usado no dimensionamento do SESMT</t>
  </si>
  <si>
    <t xml:space="preserve">Nome do setor</t>
  </si>
  <si>
    <t xml:space="preserve">Data (chave)</t>
  </si>
  <si>
    <t xml:space="preserve">Primeiro dia do mês</t>
  </si>
  <si>
    <t xml:space="preserve">Ano</t>
  </si>
  <si>
    <t xml:space="preserve">Número do mês</t>
  </si>
  <si>
    <t xml:space="preserve">Mês abreviado (rótulo dos gráficos)</t>
  </si>
  <si>
    <t xml:space="preserve">Semestre do ano</t>
  </si>
  <si>
    <t xml:space="preserve">dUnidade[id_unidade]</t>
  </si>
  <si>
    <t xml:space="preserve">Data</t>
  </si>
  <si>
    <t xml:space="preserve">Mês da ocorrência</t>
  </si>
  <si>
    <t xml:space="preserve">dCalendario[mes]</t>
  </si>
  <si>
    <t xml:space="preserve">Acidentes com afastamento (CAF)</t>
  </si>
  <si>
    <t xml:space="preserve">Acidentes sem afastamento (SAF)</t>
  </si>
  <si>
    <t xml:space="preserve">Setor</t>
  </si>
  <si>
    <t xml:space="preserve">dSetor[setor]</t>
  </si>
  <si>
    <t xml:space="preserve">Físico, Químico, Biológico, Ergonômico, Acidentes ou Psicossociais</t>
  </si>
  <si>
    <t xml:space="preserve">Quantidade de perigos identificados</t>
  </si>
  <si>
    <t xml:space="preserve">Identificador do brigadista</t>
  </si>
  <si>
    <t xml:space="preserve">Nome (fictício)</t>
  </si>
  <si>
    <t xml:space="preserve">Setor de lotação</t>
  </si>
  <si>
    <t xml:space="preserve">Turno de trabalho</t>
  </si>
  <si>
    <t xml:space="preserve">Data do último treinamento de brigada</t>
  </si>
  <si>
    <t xml:space="preserve">Validade do treinamento (reciclagem anual)</t>
  </si>
  <si>
    <t xml:space="preserve">Fórmula</t>
  </si>
  <si>
    <t xml:space="preserve">data_validade − data de referência (negativo = vencido)</t>
  </si>
  <si>
    <t xml:space="preserve">Vencido, Vence em até 30 dias, Vence em até 60 dias ou Válido</t>
  </si>
  <si>
    <t xml:space="preserve">Código patrimonial do item</t>
  </si>
  <si>
    <t xml:space="preserve">Descrição do item</t>
  </si>
  <si>
    <t xml:space="preserve">Extintor, Hidrante, EPI, Kit ou Emergência</t>
  </si>
  <si>
    <t xml:space="preserve">Local de instalação ou guarda</t>
  </si>
  <si>
    <t xml:space="preserve">Quantidade (lotes de EPI em unidades)</t>
  </si>
  <si>
    <t xml:space="preserve">Validade ou próxima manutenção/recarga</t>
  </si>
  <si>
    <t xml:space="preserve">data_validade − data de referência</t>
  </si>
  <si>
    <t xml:space="preserve">Vencido, Até 30 dias, 31 a 90 dias ou Em dia</t>
  </si>
  <si>
    <t xml:space="preserve">Código do documento (repete entre unidades)</t>
  </si>
  <si>
    <t xml:space="preserve">Nome do documento</t>
  </si>
  <si>
    <t xml:space="preserve">Programa, Laudo, Plano, POP ou Fluxo</t>
  </si>
  <si>
    <t xml:space="preserve">Norma de referência</t>
  </si>
  <si>
    <t xml:space="preserve">Área ou profissional responsável</t>
  </si>
  <si>
    <t xml:space="preserve">Periodicidade de revisão adotada</t>
  </si>
  <si>
    <t xml:space="preserve">Data da última revisão</t>
  </si>
  <si>
    <t xml:space="preserve">Data limite da próxima revisão</t>
  </si>
  <si>
    <t xml:space="preserve">data_proxima_revisao − data de referência</t>
  </si>
  <si>
    <t xml:space="preserve">Vencido, Até 30 dias, Até 60 dias ou Vigente</t>
  </si>
  <si>
    <t xml:space="preserve">Atualizado, Em revisão ou Desatualizado</t>
  </si>
  <si>
    <t xml:space="preserve">Avanço da atualização do fluxo ou POP</t>
  </si>
  <si>
    <t xml:space="preserve">Dimensão avaliada</t>
  </si>
  <si>
    <t xml:space="preserve">Decimal</t>
  </si>
  <si>
    <t xml:space="preserve">Nota média no ciclo anterior</t>
  </si>
  <si>
    <t xml:space="preserve">Nota média no ciclo atual</t>
  </si>
  <si>
    <t xml:space="preserve">nota_ciclo_atual − nota_ciclo_anterior</t>
  </si>
  <si>
    <t xml:space="preserve">Nota média do setor (0 a 10)</t>
  </si>
  <si>
    <t xml:space="preserve">1 = mais antigo, 4 = ciclo atual</t>
  </si>
  <si>
    <t xml:space="preserve">Semestre da aplicação</t>
  </si>
  <si>
    <t xml:space="preserve">Nota geral do ciclo</t>
  </si>
  <si>
    <t xml:space="preserve">Data de fechamento dos indicadores</t>
  </si>
  <si>
    <t xml:space="preserve">Dias perdidos e debitados por acidentes (taxa de gravidade)</t>
  </si>
  <si>
    <t xml:space="preserve">Dias desde o último acidente com afastamento</t>
  </si>
  <si>
    <t xml:space="preserve">Itens conformes no checklist do GRO (NR-1)</t>
  </si>
  <si>
    <t xml:space="preserve">Respostas favoráveis na pesquisa de clima organizacional</t>
  </si>
  <si>
    <t xml:space="preserve">Horas de treinamento em SST por colaborador no ano</t>
  </si>
  <si>
    <t xml:space="preserve">Turnover voluntário em 12 meses</t>
  </si>
  <si>
    <t xml:space="preserve">Brigadistas exigidos pelo dimensionamento da brigada</t>
  </si>
  <si>
    <t xml:space="preserve">Respondentes da pesquisa de clima de segurança</t>
  </si>
  <si>
    <t xml:space="preserve">Colaboradores com ASO periódico previsto no PCMSO</t>
  </si>
  <si>
    <t xml:space="preserve">ASOs periódicos vencidos</t>
  </si>
  <si>
    <t xml:space="preserve">ASOs periódicos que vencem em até 30 dias</t>
  </si>
  <si>
    <t xml:space="preserve">Desligamentos em 12 meses</t>
  </si>
  <si>
    <t xml:space="preserve">Desligamentos com PPP eletrônico disponível</t>
  </si>
  <si>
    <t xml:space="preserve">Profissional do SESMT</t>
  </si>
  <si>
    <t xml:space="preserve">Quantidade exigida</t>
  </si>
  <si>
    <t xml:space="preserve">Quantidade em atuação</t>
  </si>
  <si>
    <t xml:space="preserve">MAX(0; exigido − existente)</t>
  </si>
  <si>
    <t xml:space="preserve">Admissional, Periódico, Retorno ao trabalho, Mudança de risco ou Demissional</t>
  </si>
  <si>
    <t xml:space="preserve">Realizados dentro do prazo</t>
  </si>
  <si>
    <t xml:space="preserve">Realizados fora do prazo</t>
  </si>
  <si>
    <t xml:space="preserve">no_prazo + fora_do_prazo</t>
  </si>
  <si>
    <t xml:space="preserve">Colaborador (fictício)</t>
  </si>
  <si>
    <t xml:space="preserve">Função</t>
  </si>
  <si>
    <t xml:space="preserve">Data do último ASO periódico</t>
  </si>
  <si>
    <t xml:space="preserve">Vencimento do periódico</t>
  </si>
  <si>
    <t xml:space="preserve">data_vencimento − data de referência</t>
  </si>
  <si>
    <t xml:space="preserve">Vencido ou Vence em até 30 dias</t>
  </si>
  <si>
    <t xml:space="preserve">Exame complementar</t>
  </si>
  <si>
    <t xml:space="preserve">Exames programados no período</t>
  </si>
  <si>
    <t xml:space="preserve">Exames realizados</t>
  </si>
  <si>
    <t xml:space="preserve">realizados ÷ programados</t>
  </si>
  <si>
    <t xml:space="preserve">Grupo de causa do afastamento</t>
  </si>
  <si>
    <t xml:space="preserve">Dias de afastamento</t>
  </si>
  <si>
    <t xml:space="preserve">Agente nocivo</t>
  </si>
  <si>
    <t xml:space="preserve">Anexo da NR-15</t>
  </si>
  <si>
    <t xml:space="preserve">Setores com exposição</t>
  </si>
  <si>
    <t xml:space="preserve">Trabalhadores expostos</t>
  </si>
  <si>
    <t xml:space="preserve">Grau de insalubridade e adicional</t>
  </si>
  <si>
    <t xml:space="preserve">Medições acima do limite de tolerância no período</t>
  </si>
  <si>
    <t xml:space="preserve">Controlado (0), Em adequação (1) ou Sem controle eficaz (2 ou mais)</t>
  </si>
  <si>
    <t xml:space="preserve">S-2210 (CAT), S-2220 (ASO) ou S-2240 (agentes nocivos)</t>
  </si>
  <si>
    <t xml:space="preserve">Descrição do evento</t>
  </si>
  <si>
    <t xml:space="preserve">Prazo legal de envio</t>
  </si>
  <si>
    <t xml:space="preserve">Eventos enviados e aceitos</t>
  </si>
  <si>
    <t xml:space="preserve">Eventos pendentes de envio</t>
  </si>
  <si>
    <t xml:space="preserve">Eventos rejeitados</t>
  </si>
  <si>
    <t xml:space="preserve">Identificador do indicador</t>
  </si>
  <si>
    <t xml:space="preserve">Nome do indicador</t>
  </si>
  <si>
    <t xml:space="preserve">Valor da meta (percentuais em fração: 0,9 = 90%)</t>
  </si>
  <si>
    <t xml:space="preserve">Se a meta é mínima ou máxima</t>
  </si>
  <si>
    <t xml:space="preserve">Unidade da meta</t>
  </si>
  <si>
    <t xml:space="preserve">GPTW, ISO 45001 e/ou ESG</t>
  </si>
  <si>
    <t xml:space="preserve">Selo que fica inelegível se a meta não for atingida</t>
  </si>
  <si>
    <t xml:space="preserve">Plano de mitigação sugerido quando fora da meta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</si>
</sst>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"/>
    <numFmt numFmtId="167" formatCode="0.0%"/>
    <numFmt numFmtId="168" formatCode="#,##0.00"/>
    <numFmt numFmtId="169" formatCode="#,##0.0"/>
    <numFmt numFmtId="170" formatCode="0.0#"/>
    <numFmt numFmtId="171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10"/>
      <color rgb="FFA4262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05E5C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05E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5E5C"/>
      <rgbColor rgb="FF969696"/>
      <rgbColor rgb="FF1E3A5F"/>
      <rgbColor rgb="FF339966"/>
      <rgbColor rgb="FF003300"/>
      <rgbColor rgb="FF333300"/>
      <rgbColor rgb="FFA426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Calendario" displayName="dCalendario" ref="A1:E13" headerRowCount="1" totalsRowCount="0" totalsRowShown="0">
  <autoFilter ref="A1:E13"/>
  <tableColumns count="5">
    <tableColumn id="1" name="mes"/>
    <tableColumn id="2" name="ano"/>
    <tableColumn id="3" name="numero_mes"/>
    <tableColumn id="4" name="nome_mes"/>
    <tableColumn id="5" name="semestre"/>
  </tableColumns>
</table>
</file>

<file path=xl/tables/table2.xml><?xml version="1.0" encoding="utf-8"?>
<table xmlns="http://schemas.openxmlformats.org/spreadsheetml/2006/main" id="2" name="Dicionario" displayName="Dicionario" ref="A1:E133" headerRowCount="1" totalsRowCount="0" totalsRowShown="0">
  <autoFilter ref="A1:E133"/>
  <tableColumns count="5">
    <tableColumn id="1" name="tabela"/>
    <tableColumn id="2" name="coluna"/>
    <tableColumn id="3" name="tipo"/>
    <tableColumn id="4" name="descricao"/>
    <tableColumn id="5" name="relacionamento"/>
  </tableColumns>
</table>
</file>

<file path=xl/tables/table3.xml><?xml version="1.0" encoding="utf-8"?>
<table xmlns="http://schemas.openxmlformats.org/spreadsheetml/2006/main" id="3" name="dMetas" displayName="dMetas" ref="A1:H13" headerRowCount="1" totalsRowCount="0" totalsRowShown="0">
  <autoFilter ref="A1:H13"/>
  <tableColumns count="8">
    <tableColumn id="1" name="id_indicador"/>
    <tableColumn id="2" name="indicador"/>
    <tableColumn id="3" name="meta"/>
    <tableColumn id="4" name="sentido"/>
    <tableColumn id="5" name="unidade_medida"/>
    <tableColumn id="6" name="selos_afetados"/>
    <tableColumn id="7" name="bloqueante_para"/>
    <tableColumn id="8" name="sugestao_melhoria"/>
  </tableColumns>
</table>
</file>

<file path=xl/tables/table4.xml><?xml version="1.0" encoding="utf-8"?>
<table xmlns="http://schemas.openxmlformats.org/spreadsheetml/2006/main" id="4" name="dSetor" displayName="dSetor" ref="A1:A7" headerRowCount="1" totalsRowCount="0" totalsRowShown="0">
  <autoFilter ref="A1:A7"/>
  <tableColumns count="1">
    <tableColumn id="1" name="setor"/>
  </tableColumns>
</table>
</file>

<file path=xl/tables/table5.xml><?xml version="1.0" encoding="utf-8"?>
<table xmlns="http://schemas.openxmlformats.org/spreadsheetml/2006/main" id="5" name="dUnidade" displayName="dUnidade" ref="A1:H5" headerRowCount="1" totalsRowCount="0" totalsRowShown="0">
  <autoFilter ref="A1:H5"/>
  <tableColumns count="8">
    <tableColumn id="1" name="id_unidade"/>
    <tableColumn id="2" name="nome_unidade"/>
    <tableColumn id="3" name="tipo"/>
    <tableColumn id="4" name="cidade"/>
    <tableColumn id="5" name="uf"/>
    <tableColumn id="6" name="colaboradores"/>
    <tableColumn id="7" name="horas_homem_ano"/>
    <tableColumn id="8" name="grau_risco"/>
  </tableColumns>
</table>
</file>

<file path=xl/tables/table6.xml><?xml version="1.0" encoding="utf-8"?>
<table xmlns="http://schemas.openxmlformats.org/spreadsheetml/2006/main" id="6" name="fAcidentesMensal" displayName="fAcidentesMensal" ref="A1:D49" headerRowCount="1" totalsRowCount="0" totalsRowShown="0">
  <autoFilter ref="A1:D49"/>
  <tableColumns count="4">
    <tableColumn id="1" name="id_unidade"/>
    <tableColumn id="2" name="mes"/>
    <tableColumn id="3" name="acidentes_caf"/>
    <tableColumn id="4" name="acidentes_saf"/>
  </tableColumns>
</table>
</file>

<file path=xl/tables/table7.xml><?xml version="1.0" encoding="utf-8"?>
<table xmlns="http://schemas.openxmlformats.org/spreadsheetml/2006/main" id="7" name="fAfastamentos" displayName="fAfastamentos" ref="A1:C21" headerRowCount="1" totalsRowCount="0" totalsRowShown="0">
  <autoFilter ref="A1:C21"/>
  <tableColumns count="3">
    <tableColumn id="1" name="id_unidade"/>
    <tableColumn id="2" name="grupo_causa"/>
    <tableColumn id="3" name="dias_afastamento"/>
  </tableColumns>
</table>
</file>

<file path=xl/tables/table8.xml><?xml version="1.0" encoding="utf-8"?>
<table xmlns="http://schemas.openxmlformats.org/spreadsheetml/2006/main" id="8" name="fAgentesNocivos" displayName="fAgentesNocivos" ref="A1:H21" headerRowCount="1" totalsRowCount="0" totalsRowShown="0">
  <autoFilter ref="A1:H21"/>
  <tableColumns count="8">
    <tableColumn id="1" name="id_unidade"/>
    <tableColumn id="2" name="agente"/>
    <tableColumn id="3" name="referencia_nr15"/>
    <tableColumn id="4" name="setores_expostos"/>
    <tableColumn id="5" name="trabalhadores_expostos"/>
    <tableColumn id="6" name="grau_insalubridade"/>
    <tableColumn id="7" name="medicoes_acima_limite"/>
    <tableColumn id="8" name="situacao_controle"/>
  </tableColumns>
</table>
</file>

<file path=xl/tables/table9.xml><?xml version="1.0" encoding="utf-8"?>
<table xmlns="http://schemas.openxmlformats.org/spreadsheetml/2006/main" id="9" name="fAsos" displayName="fAsos" ref="A1:E21" headerRowCount="1" totalsRowCount="0" totalsRowShown="0">
  <autoFilter ref="A1:E21"/>
  <tableColumns count="5">
    <tableColumn id="1" name="id_unidade"/>
    <tableColumn id="2" name="tipo_aso"/>
    <tableColumn id="3" name="no_prazo"/>
    <tableColumn id="4" name="fora_do_prazo"/>
    <tableColumn id="5" name="total"/>
  </tableColumns>
</table>
</file>

<file path=xl/tables/table10.xml><?xml version="1.0" encoding="utf-8"?>
<table xmlns="http://schemas.openxmlformats.org/spreadsheetml/2006/main" id="10" name="fBrigadistas" displayName="fBrigadistas" ref="A1:I90" headerRowCount="1" totalsRowCount="0" totalsRowShown="0">
  <autoFilter ref="A1:I90"/>
  <tableColumns count="9">
    <tableColumn id="1" name="id_brigadista"/>
    <tableColumn id="2" name="nome"/>
    <tableColumn id="3" name="id_unidade"/>
    <tableColumn id="4" name="setor"/>
    <tableColumn id="5" name="turno"/>
    <tableColumn id="6" name="data_ultimo_treinamento"/>
    <tableColumn id="7" name="data_validade"/>
    <tableColumn id="8" name="dias_para_vencimento"/>
    <tableColumn id="9" name="situacao"/>
  </tableColumns>
</table>
</file>

<file path=xl/tables/table11.xml><?xml version="1.0" encoding="utf-8"?>
<table xmlns="http://schemas.openxmlformats.org/spreadsheetml/2006/main" id="11" name="fDocumentos" displayName="fDocumentos" ref="A1:M46" headerRowCount="1" totalsRowCount="0" totalsRowShown="0">
  <autoFilter ref="A1:M46"/>
  <tableColumns count="13">
    <tableColumn id="1" name="codigo"/>
    <tableColumn id="2" name="documento"/>
    <tableColumn id="3" name="tipo"/>
    <tableColumn id="4" name="norma"/>
    <tableColumn id="5" name="id_unidade"/>
    <tableColumn id="6" name="responsavel"/>
    <tableColumn id="7" name="periodicidade"/>
    <tableColumn id="8" name="data_ultima_revisao"/>
    <tableColumn id="9" name="data_proxima_revisao"/>
    <tableColumn id="10" name="dias_para_revisao"/>
    <tableColumn id="11" name="vigencia"/>
    <tableColumn id="12" name="status_fluxo"/>
    <tableColumn id="13" name="progresso_fluxo"/>
  </tableColumns>
</table>
</file>

<file path=xl/tables/table12.xml><?xml version="1.0" encoding="utf-8"?>
<table xmlns="http://schemas.openxmlformats.org/spreadsheetml/2006/main" id="12" name="fEquipamentos" displayName="fEquipamentos" ref="A1:I68" headerRowCount="1" totalsRowCount="0" totalsRowShown="0">
  <autoFilter ref="A1:I68"/>
  <tableColumns count="9">
    <tableColumn id="1" name="codigo"/>
    <tableColumn id="2" name="item"/>
    <tableColumn id="3" name="categoria"/>
    <tableColumn id="4" name="local"/>
    <tableColumn id="5" name="id_unidade"/>
    <tableColumn id="6" name="quantidade"/>
    <tableColumn id="7" name="data_validade"/>
    <tableColumn id="8" name="dias_para_vencimento"/>
    <tableColumn id="9" name="situacao"/>
  </tableColumns>
</table>
</file>

<file path=xl/tables/table13.xml><?xml version="1.0" encoding="utf-8"?>
<table xmlns="http://schemas.openxmlformats.org/spreadsheetml/2006/main" id="13" name="fEventosEsocial" displayName="fEventosEsocial" ref="A1:G13" headerRowCount="1" totalsRowCount="0" totalsRowShown="0">
  <autoFilter ref="A1:G13"/>
  <tableColumns count="7">
    <tableColumn id="1" name="id_unidade"/>
    <tableColumn id="2" name="evento"/>
    <tableColumn id="3" name="descricao"/>
    <tableColumn id="4" name="prazo_envio"/>
    <tableColumn id="5" name="enviados"/>
    <tableColumn id="6" name="pendentes"/>
    <tableColumn id="7" name="rejeitados"/>
  </tableColumns>
</table>
</file>

<file path=xl/tables/table14.xml><?xml version="1.0" encoding="utf-8"?>
<table xmlns="http://schemas.openxmlformats.org/spreadsheetml/2006/main" id="14" name="fExames" displayName="fExames" ref="A1:E25" headerRowCount="1" totalsRowCount="0" totalsRowShown="0">
  <autoFilter ref="A1:E25"/>
  <tableColumns count="5">
    <tableColumn id="1" name="id_unidade"/>
    <tableColumn id="2" name="exame"/>
    <tableColumn id="3" name="programados"/>
    <tableColumn id="4" name="realizados"/>
    <tableColumn id="5" name="pct_realizado"/>
  </tableColumns>
</table>
</file>

<file path=xl/tables/table15.xml><?xml version="1.0" encoding="utf-8"?>
<table xmlns="http://schemas.openxmlformats.org/spreadsheetml/2006/main" id="15" name="fIndicadoresGestao" displayName="fIndicadoresGestao" ref="A1:R5" headerRowCount="1" totalsRowCount="0" totalsRowShown="0">
  <autoFilter ref="A1:R5"/>
  <tableColumns count="18">
    <tableColumn id="1" name="id_unidade"/>
    <tableColumn id="2" name="data_referencia"/>
    <tableColumn id="3" name="dias_perdidos_12m"/>
    <tableColumn id="4" name="dias_sem_acidente_caf"/>
    <tableColumn id="5" name="conformidade_nr1"/>
    <tableColumn id="6" name="trust_index"/>
    <tableColumn id="7" name="horas_treinamento_sst_colab"/>
    <tableColumn id="8" name="ncs_abertas_auditoria"/>
    <tableColumn id="9" name="investigacoes_no_prazo"/>
    <tableColumn id="10" name="absenteismo"/>
    <tableColumn id="11" name="turnover_voluntario"/>
    <tableColumn id="12" name="brigadistas_exigidos"/>
    <tableColumn id="13" name="respondentes_pesquisa"/>
    <tableColumn id="14" name="periodicos_total"/>
    <tableColumn id="15" name="periodicos_vencidos"/>
    <tableColumn id="16" name="periodicos_a_vencer_30d"/>
    <tableColumn id="17" name="desligamentos_12m"/>
    <tableColumn id="18" name="ppp_emitidos"/>
  </tableColumns>
</table>
</file>

<file path=xl/tables/table16.xml><?xml version="1.0" encoding="utf-8"?>
<table xmlns="http://schemas.openxmlformats.org/spreadsheetml/2006/main" id="16" name="fPeriodicosPendentes" displayName="fPeriodicosPendentes" ref="A1:H49" headerRowCount="1" totalsRowCount="0" totalsRowShown="0">
  <autoFilter ref="A1:H49"/>
  <tableColumns count="8">
    <tableColumn id="1" name="nome"/>
    <tableColumn id="2" name="id_unidade"/>
    <tableColumn id="3" name="setor"/>
    <tableColumn id="4" name="funcao"/>
    <tableColumn id="5" name="data_ultimo_periodico"/>
    <tableColumn id="6" name="data_vencimento"/>
    <tableColumn id="7" name="dias_para_vencimento"/>
    <tableColumn id="8" name="situacao"/>
  </tableColumns>
</table>
</file>

<file path=xl/tables/table17.xml><?xml version="1.0" encoding="utf-8"?>
<table xmlns="http://schemas.openxmlformats.org/spreadsheetml/2006/main" id="17" name="fPesquisaCiclo" displayName="fPesquisaCiclo" ref="A1:D17" headerRowCount="1" totalsRowCount="0" totalsRowShown="0">
  <autoFilter ref="A1:D17"/>
  <tableColumns count="4">
    <tableColumn id="1" name="id_unidade"/>
    <tableColumn id="2" name="ordem_ciclo"/>
    <tableColumn id="3" name="ciclo"/>
    <tableColumn id="4" name="nota_geral"/>
  </tableColumns>
</table>
</file>

<file path=xl/tables/table18.xml><?xml version="1.0" encoding="utf-8"?>
<table xmlns="http://schemas.openxmlformats.org/spreadsheetml/2006/main" id="18" name="fPesquisaDimensao" displayName="fPesquisaDimensao" ref="A1:E29" headerRowCount="1" totalsRowCount="0" totalsRowShown="0">
  <autoFilter ref="A1:E29"/>
  <tableColumns count="5">
    <tableColumn id="1" name="id_unidade"/>
    <tableColumn id="2" name="dimensao"/>
    <tableColumn id="3" name="nota_ciclo_anterior"/>
    <tableColumn id="4" name="nota_ciclo_atual"/>
    <tableColumn id="5" name="variacao"/>
  </tableColumns>
</table>
</file>

<file path=xl/tables/table19.xml><?xml version="1.0" encoding="utf-8"?>
<table xmlns="http://schemas.openxmlformats.org/spreadsheetml/2006/main" id="19" name="fPesquisaSetor" displayName="fPesquisaSetor" ref="A1:C25" headerRowCount="1" totalsRowCount="0" totalsRowShown="0">
  <autoFilter ref="A1:C25"/>
  <tableColumns count="3">
    <tableColumn id="1" name="id_unidade"/>
    <tableColumn id="2" name="setor"/>
    <tableColumn id="3" name="nota_media"/>
  </tableColumns>
</table>
</file>

<file path=xl/tables/table20.xml><?xml version="1.0" encoding="utf-8"?>
<table xmlns="http://schemas.openxmlformats.org/spreadsheetml/2006/main" id="20" name="fRiscos" displayName="fRiscos" ref="A1:D145" headerRowCount="1" totalsRowCount="0" totalsRowShown="0">
  <autoFilter ref="A1:D145"/>
  <tableColumns count="4">
    <tableColumn id="1" name="id_unidade"/>
    <tableColumn id="2" name="setor"/>
    <tableColumn id="3" name="categoria_risco"/>
    <tableColumn id="4" name="qtd_perigos"/>
  </tableColumns>
</table>
</file>

<file path=xl/tables/table21.xml><?xml version="1.0" encoding="utf-8"?>
<table xmlns="http://schemas.openxmlformats.org/spreadsheetml/2006/main" id="21" name="fSesmt" displayName="fSesmt" ref="A1:E21" headerRowCount="1" totalsRowCount="0" totalsRowShown="0">
  <autoFilter ref="A1:E21"/>
  <tableColumns count="5">
    <tableColumn id="1" name="id_unidade"/>
    <tableColumn id="2" name="funcao"/>
    <tableColumn id="3" name="exigido"/>
    <tableColumn id="4" name="existente"/>
    <tableColumn id="5" name="defic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46311</v>
      </c>
      <c r="C4" s="5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6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</row>
    <row r="13" customFormat="false" ht="15" hidden="false" customHeight="false" outlineLevel="0" collapsed="false">
      <c r="A13" s="6" t="s">
        <v>12</v>
      </c>
      <c r="B13" s="6" t="s">
        <v>13</v>
      </c>
      <c r="C13" s="6" t="n">
        <v>4</v>
      </c>
    </row>
    <row r="14" customFormat="false" ht="15" hidden="false" customHeight="false" outlineLevel="0" collapsed="false">
      <c r="A14" s="6" t="s">
        <v>14</v>
      </c>
      <c r="B14" s="6" t="s">
        <v>15</v>
      </c>
      <c r="C14" s="6" t="n">
        <v>6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6" t="n">
        <v>12</v>
      </c>
    </row>
    <row r="16" customFormat="false" ht="15" hidden="false" customHeight="false" outlineLevel="0" collapsed="false">
      <c r="A16" s="6" t="s">
        <v>18</v>
      </c>
      <c r="B16" s="6" t="s">
        <v>19</v>
      </c>
      <c r="C16" s="6" t="n">
        <v>48</v>
      </c>
    </row>
    <row r="17" customFormat="false" ht="15" hidden="false" customHeight="false" outlineLevel="0" collapsed="false">
      <c r="A17" s="6" t="s">
        <v>20</v>
      </c>
      <c r="B17" s="6" t="s">
        <v>21</v>
      </c>
      <c r="C17" s="6" t="n">
        <v>144</v>
      </c>
    </row>
    <row r="18" customFormat="false" ht="15" hidden="false" customHeight="false" outlineLevel="0" collapsed="false">
      <c r="A18" s="6" t="s">
        <v>22</v>
      </c>
      <c r="B18" s="6" t="s">
        <v>23</v>
      </c>
      <c r="C18" s="6" t="n">
        <v>89</v>
      </c>
    </row>
    <row r="19" customFormat="false" ht="15" hidden="false" customHeight="false" outlineLevel="0" collapsed="false">
      <c r="A19" s="6" t="s">
        <v>24</v>
      </c>
      <c r="B19" s="6" t="s">
        <v>25</v>
      </c>
      <c r="C19" s="6" t="n">
        <v>67</v>
      </c>
    </row>
    <row r="20" customFormat="false" ht="15" hidden="false" customHeight="false" outlineLevel="0" collapsed="false">
      <c r="A20" s="6" t="s">
        <v>26</v>
      </c>
      <c r="B20" s="6" t="s">
        <v>27</v>
      </c>
      <c r="C20" s="6" t="n">
        <v>45</v>
      </c>
    </row>
    <row r="21" customFormat="false" ht="15" hidden="false" customHeight="false" outlineLevel="0" collapsed="false">
      <c r="A21" s="6" t="s">
        <v>28</v>
      </c>
      <c r="B21" s="6" t="s">
        <v>29</v>
      </c>
      <c r="C21" s="6" t="n">
        <v>28</v>
      </c>
    </row>
    <row r="22" customFormat="false" ht="15" hidden="false" customHeight="false" outlineLevel="0" collapsed="false">
      <c r="A22" s="6" t="s">
        <v>30</v>
      </c>
      <c r="B22" s="6" t="s">
        <v>31</v>
      </c>
      <c r="C22" s="6" t="n">
        <v>24</v>
      </c>
    </row>
    <row r="23" customFormat="false" ht="15" hidden="false" customHeight="false" outlineLevel="0" collapsed="false">
      <c r="A23" s="6" t="s">
        <v>32</v>
      </c>
      <c r="B23" s="6" t="s">
        <v>33</v>
      </c>
      <c r="C23" s="6" t="n">
        <v>16</v>
      </c>
    </row>
    <row r="24" customFormat="false" ht="15" hidden="false" customHeight="false" outlineLevel="0" collapsed="false">
      <c r="A24" s="6" t="s">
        <v>34</v>
      </c>
      <c r="B24" s="6" t="s">
        <v>35</v>
      </c>
      <c r="C24" s="6" t="n">
        <v>4</v>
      </c>
    </row>
    <row r="25" customFormat="false" ht="15" hidden="false" customHeight="false" outlineLevel="0" collapsed="false">
      <c r="A25" s="6" t="s">
        <v>36</v>
      </c>
      <c r="B25" s="6" t="s">
        <v>37</v>
      </c>
      <c r="C25" s="6" t="n">
        <v>20</v>
      </c>
    </row>
    <row r="26" customFormat="false" ht="15" hidden="false" customHeight="false" outlineLevel="0" collapsed="false">
      <c r="A26" s="6" t="s">
        <v>38</v>
      </c>
      <c r="B26" s="6" t="s">
        <v>39</v>
      </c>
      <c r="C26" s="6" t="n">
        <v>20</v>
      </c>
    </row>
    <row r="27" customFormat="false" ht="15" hidden="false" customHeight="false" outlineLevel="0" collapsed="false">
      <c r="A27" s="6" t="s">
        <v>40</v>
      </c>
      <c r="B27" s="6" t="s">
        <v>41</v>
      </c>
      <c r="C27" s="6" t="n">
        <v>48</v>
      </c>
    </row>
    <row r="28" customFormat="false" ht="15" hidden="false" customHeight="false" outlineLevel="0" collapsed="false">
      <c r="A28" s="6" t="s">
        <v>42</v>
      </c>
      <c r="B28" s="6" t="s">
        <v>43</v>
      </c>
      <c r="C28" s="6" t="n">
        <v>24</v>
      </c>
    </row>
    <row r="29" customFormat="false" ht="15" hidden="false" customHeight="false" outlineLevel="0" collapsed="false">
      <c r="A29" s="6" t="s">
        <v>44</v>
      </c>
      <c r="B29" s="6" t="s">
        <v>45</v>
      </c>
      <c r="C29" s="6" t="n">
        <v>20</v>
      </c>
    </row>
    <row r="30" customFormat="false" ht="15" hidden="false" customHeight="false" outlineLevel="0" collapsed="false">
      <c r="A30" s="6" t="s">
        <v>46</v>
      </c>
      <c r="B30" s="6" t="s">
        <v>47</v>
      </c>
      <c r="C30" s="6" t="n">
        <v>20</v>
      </c>
    </row>
    <row r="31" customFormat="false" ht="15" hidden="false" customHeight="false" outlineLevel="0" collapsed="false">
      <c r="A31" s="6" t="s">
        <v>48</v>
      </c>
      <c r="B31" s="6" t="s">
        <v>49</v>
      </c>
      <c r="C31" s="6" t="n">
        <v>12</v>
      </c>
    </row>
    <row r="32" customFormat="false" ht="15" hidden="false" customHeight="false" outlineLevel="0" collapsed="false">
      <c r="A32" s="6" t="s">
        <v>50</v>
      </c>
      <c r="B32" s="6" t="s">
        <v>51</v>
      </c>
      <c r="C32" s="6" t="n">
        <v>12</v>
      </c>
    </row>
    <row r="33" customFormat="false" ht="15" hidden="false" customHeight="false" outlineLevel="0" collapsed="false">
      <c r="A33" s="6" t="s">
        <v>52</v>
      </c>
      <c r="B33" s="6" t="s">
        <v>53</v>
      </c>
    </row>
    <row r="34" customFormat="false" ht="15" hidden="false" customHeight="false" outlineLevel="0" collapsed="false">
      <c r="A34" s="6" t="s">
        <v>54</v>
      </c>
      <c r="B34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</row>
    <row r="2" customFormat="false" ht="15" hidden="false" customHeight="false" outlineLevel="0" collapsed="false">
      <c r="A2" s="6" t="s">
        <v>64</v>
      </c>
      <c r="B2" s="6" t="s">
        <v>65</v>
      </c>
      <c r="C2" s="6" t="s">
        <v>66</v>
      </c>
      <c r="D2" s="6" t="s">
        <v>67</v>
      </c>
      <c r="E2" s="6" t="s">
        <v>68</v>
      </c>
      <c r="F2" s="8" t="n">
        <v>820</v>
      </c>
      <c r="G2" s="8" t="n">
        <f aca="false">F2*1980</f>
        <v>1623600</v>
      </c>
      <c r="H2" s="6" t="n">
        <v>2</v>
      </c>
    </row>
    <row r="3" customFormat="false" ht="15" hidden="false" customHeight="false" outlineLevel="0" collapsed="false">
      <c r="A3" s="6" t="s">
        <v>69</v>
      </c>
      <c r="B3" s="6" t="s">
        <v>70</v>
      </c>
      <c r="C3" s="6" t="s">
        <v>71</v>
      </c>
      <c r="D3" s="6" t="s">
        <v>72</v>
      </c>
      <c r="E3" s="6" t="s">
        <v>69</v>
      </c>
      <c r="F3" s="8" t="n">
        <v>1150</v>
      </c>
      <c r="G3" s="8" t="n">
        <f aca="false">F3*1980</f>
        <v>2277000</v>
      </c>
      <c r="H3" s="6" t="n">
        <v>3</v>
      </c>
    </row>
    <row r="4" customFormat="false" ht="15" hidden="false" customHeight="false" outlineLevel="0" collapsed="false">
      <c r="A4" s="6" t="s">
        <v>73</v>
      </c>
      <c r="B4" s="6" t="s">
        <v>74</v>
      </c>
      <c r="C4" s="6" t="s">
        <v>71</v>
      </c>
      <c r="D4" s="6" t="s">
        <v>75</v>
      </c>
      <c r="E4" s="6" t="s">
        <v>76</v>
      </c>
      <c r="F4" s="8" t="n">
        <v>410</v>
      </c>
      <c r="G4" s="8" t="n">
        <f aca="false">F4*1980</f>
        <v>811800</v>
      </c>
      <c r="H4" s="6" t="n">
        <v>3</v>
      </c>
    </row>
    <row r="5" customFormat="false" ht="15" hidden="false" customHeight="false" outlineLevel="0" collapsed="false">
      <c r="A5" s="6" t="s">
        <v>77</v>
      </c>
      <c r="B5" s="6" t="s">
        <v>78</v>
      </c>
      <c r="C5" s="6" t="s">
        <v>71</v>
      </c>
      <c r="D5" s="6" t="s">
        <v>79</v>
      </c>
      <c r="E5" s="6" t="s">
        <v>80</v>
      </c>
      <c r="F5" s="8" t="n">
        <v>560</v>
      </c>
      <c r="G5" s="8" t="n">
        <f aca="false">F5*1980</f>
        <v>1108800</v>
      </c>
      <c r="H5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3" t="s">
        <v>81</v>
      </c>
    </row>
    <row r="2" customFormat="false" ht="15" hidden="false" customHeight="false" outlineLevel="0" collapsed="false">
      <c r="A2" s="6" t="s">
        <v>82</v>
      </c>
    </row>
    <row r="3" customFormat="false" ht="15" hidden="false" customHeight="false" outlineLevel="0" collapsed="false">
      <c r="A3" s="6" t="s">
        <v>83</v>
      </c>
    </row>
    <row r="4" customFormat="false" ht="15" hidden="false" customHeight="false" outlineLevel="0" collapsed="false">
      <c r="A4" s="6" t="s">
        <v>84</v>
      </c>
    </row>
    <row r="5" customFormat="false" ht="15" hidden="false" customHeight="false" outlineLevel="0" collapsed="false">
      <c r="A5" s="6" t="s">
        <v>85</v>
      </c>
    </row>
    <row r="6" customFormat="false" ht="15" hidden="false" customHeight="false" outlineLevel="0" collapsed="false">
      <c r="A6" s="6" t="s">
        <v>86</v>
      </c>
    </row>
    <row r="7" customFormat="false" ht="15" hidden="false" customHeight="false" outlineLevel="0" collapsed="false">
      <c r="A7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</row>
    <row r="2" customFormat="false" ht="15" hidden="false" customHeight="false" outlineLevel="0" collapsed="false">
      <c r="A2" s="9" t="n">
        <v>45962</v>
      </c>
      <c r="B2" s="6" t="n">
        <v>2025</v>
      </c>
      <c r="C2" s="6" t="n">
        <v>11</v>
      </c>
      <c r="D2" s="6" t="s">
        <v>93</v>
      </c>
      <c r="E2" s="6" t="s">
        <v>94</v>
      </c>
    </row>
    <row r="3" customFormat="false" ht="15" hidden="false" customHeight="false" outlineLevel="0" collapsed="false">
      <c r="A3" s="9" t="n">
        <v>45992</v>
      </c>
      <c r="B3" s="6" t="n">
        <v>2025</v>
      </c>
      <c r="C3" s="6" t="n">
        <v>12</v>
      </c>
      <c r="D3" s="6" t="s">
        <v>95</v>
      </c>
      <c r="E3" s="6" t="s">
        <v>94</v>
      </c>
    </row>
    <row r="4" customFormat="false" ht="15" hidden="false" customHeight="false" outlineLevel="0" collapsed="false">
      <c r="A4" s="9" t="n">
        <v>46023</v>
      </c>
      <c r="B4" s="6" t="n">
        <v>2026</v>
      </c>
      <c r="C4" s="6" t="n">
        <v>1</v>
      </c>
      <c r="D4" s="6" t="s">
        <v>96</v>
      </c>
      <c r="E4" s="6" t="s">
        <v>97</v>
      </c>
    </row>
    <row r="5" customFormat="false" ht="15" hidden="false" customHeight="false" outlineLevel="0" collapsed="false">
      <c r="A5" s="9" t="n">
        <v>46054</v>
      </c>
      <c r="B5" s="6" t="n">
        <v>2026</v>
      </c>
      <c r="C5" s="6" t="n">
        <v>2</v>
      </c>
      <c r="D5" s="6" t="s">
        <v>98</v>
      </c>
      <c r="E5" s="6" t="s">
        <v>97</v>
      </c>
    </row>
    <row r="6" customFormat="false" ht="15" hidden="false" customHeight="false" outlineLevel="0" collapsed="false">
      <c r="A6" s="9" t="n">
        <v>46082</v>
      </c>
      <c r="B6" s="6" t="n">
        <v>2026</v>
      </c>
      <c r="C6" s="6" t="n">
        <v>3</v>
      </c>
      <c r="D6" s="6" t="s">
        <v>99</v>
      </c>
      <c r="E6" s="6" t="s">
        <v>97</v>
      </c>
    </row>
    <row r="7" customFormat="false" ht="15" hidden="false" customHeight="false" outlineLevel="0" collapsed="false">
      <c r="A7" s="9" t="n">
        <v>46113</v>
      </c>
      <c r="B7" s="6" t="n">
        <v>2026</v>
      </c>
      <c r="C7" s="6" t="n">
        <v>4</v>
      </c>
      <c r="D7" s="6" t="s">
        <v>100</v>
      </c>
      <c r="E7" s="6" t="s">
        <v>97</v>
      </c>
    </row>
    <row r="8" customFormat="false" ht="15" hidden="false" customHeight="false" outlineLevel="0" collapsed="false">
      <c r="A8" s="9" t="n">
        <v>46143</v>
      </c>
      <c r="B8" s="6" t="n">
        <v>2026</v>
      </c>
      <c r="C8" s="6" t="n">
        <v>5</v>
      </c>
      <c r="D8" s="6" t="s">
        <v>101</v>
      </c>
      <c r="E8" s="6" t="s">
        <v>97</v>
      </c>
    </row>
    <row r="9" customFormat="false" ht="15" hidden="false" customHeight="false" outlineLevel="0" collapsed="false">
      <c r="A9" s="9" t="n">
        <v>46174</v>
      </c>
      <c r="B9" s="6" t="n">
        <v>2026</v>
      </c>
      <c r="C9" s="6" t="n">
        <v>6</v>
      </c>
      <c r="D9" s="6" t="s">
        <v>102</v>
      </c>
      <c r="E9" s="6" t="s">
        <v>97</v>
      </c>
    </row>
    <row r="10" customFormat="false" ht="15" hidden="false" customHeight="false" outlineLevel="0" collapsed="false">
      <c r="A10" s="9" t="n">
        <v>46204</v>
      </c>
      <c r="B10" s="6" t="n">
        <v>2026</v>
      </c>
      <c r="C10" s="6" t="n">
        <v>7</v>
      </c>
      <c r="D10" s="6" t="s">
        <v>103</v>
      </c>
      <c r="E10" s="6" t="s">
        <v>104</v>
      </c>
    </row>
    <row r="11" customFormat="false" ht="15" hidden="false" customHeight="false" outlineLevel="0" collapsed="false">
      <c r="A11" s="9" t="n">
        <v>46235</v>
      </c>
      <c r="B11" s="6" t="n">
        <v>2026</v>
      </c>
      <c r="C11" s="6" t="n">
        <v>8</v>
      </c>
      <c r="D11" s="6" t="s">
        <v>105</v>
      </c>
      <c r="E11" s="6" t="s">
        <v>104</v>
      </c>
    </row>
    <row r="12" customFormat="false" ht="15" hidden="false" customHeight="false" outlineLevel="0" collapsed="false">
      <c r="A12" s="9" t="n">
        <v>46266</v>
      </c>
      <c r="B12" s="6" t="n">
        <v>2026</v>
      </c>
      <c r="C12" s="6" t="n">
        <v>9</v>
      </c>
      <c r="D12" s="6" t="s">
        <v>106</v>
      </c>
      <c r="E12" s="6" t="s">
        <v>104</v>
      </c>
    </row>
    <row r="13" customFormat="false" ht="15" hidden="false" customHeight="false" outlineLevel="0" collapsed="false">
      <c r="A13" s="9" t="n">
        <v>46296</v>
      </c>
      <c r="B13" s="6" t="n">
        <v>2026</v>
      </c>
      <c r="C13" s="6" t="n">
        <v>10</v>
      </c>
      <c r="D13" s="6" t="s">
        <v>107</v>
      </c>
      <c r="E13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5"/>
  </cols>
  <sheetData>
    <row r="1" customFormat="false" ht="15" hidden="false" customHeight="false" outlineLevel="0" collapsed="false">
      <c r="A1" s="3" t="s">
        <v>56</v>
      </c>
      <c r="B1" s="3" t="s">
        <v>88</v>
      </c>
      <c r="C1" s="3" t="s">
        <v>108</v>
      </c>
      <c r="D1" s="3" t="s">
        <v>109</v>
      </c>
    </row>
    <row r="2" customFormat="false" ht="15" hidden="false" customHeight="false" outlineLevel="0" collapsed="false">
      <c r="A2" s="6" t="s">
        <v>64</v>
      </c>
      <c r="B2" s="9" t="n">
        <v>45962</v>
      </c>
      <c r="C2" s="6" t="n">
        <v>0</v>
      </c>
      <c r="D2" s="6" t="n">
        <v>1</v>
      </c>
    </row>
    <row r="3" customFormat="false" ht="15" hidden="false" customHeight="false" outlineLevel="0" collapsed="false">
      <c r="A3" s="6" t="s">
        <v>64</v>
      </c>
      <c r="B3" s="9" t="n">
        <v>45992</v>
      </c>
      <c r="C3" s="6" t="n">
        <v>0</v>
      </c>
      <c r="D3" s="6" t="n">
        <v>0</v>
      </c>
    </row>
    <row r="4" customFormat="false" ht="15" hidden="false" customHeight="false" outlineLevel="0" collapsed="false">
      <c r="A4" s="6" t="s">
        <v>64</v>
      </c>
      <c r="B4" s="9" t="n">
        <v>46023</v>
      </c>
      <c r="C4" s="6" t="n">
        <v>1</v>
      </c>
      <c r="D4" s="6" t="n">
        <v>0</v>
      </c>
    </row>
    <row r="5" customFormat="false" ht="15" hidden="false" customHeight="false" outlineLevel="0" collapsed="false">
      <c r="A5" s="6" t="s">
        <v>64</v>
      </c>
      <c r="B5" s="9" t="n">
        <v>46054</v>
      </c>
      <c r="C5" s="6" t="n">
        <v>0</v>
      </c>
      <c r="D5" s="6" t="n">
        <v>2</v>
      </c>
    </row>
    <row r="6" customFormat="false" ht="15" hidden="false" customHeight="false" outlineLevel="0" collapsed="false">
      <c r="A6" s="6" t="s">
        <v>64</v>
      </c>
      <c r="B6" s="9" t="n">
        <v>46082</v>
      </c>
      <c r="C6" s="6" t="n">
        <v>1</v>
      </c>
      <c r="D6" s="6" t="n">
        <v>0</v>
      </c>
    </row>
    <row r="7" customFormat="false" ht="15" hidden="false" customHeight="false" outlineLevel="0" collapsed="false">
      <c r="A7" s="6" t="s">
        <v>64</v>
      </c>
      <c r="B7" s="9" t="n">
        <v>46113</v>
      </c>
      <c r="C7" s="6" t="n">
        <v>0</v>
      </c>
      <c r="D7" s="6" t="n">
        <v>1</v>
      </c>
    </row>
    <row r="8" customFormat="false" ht="15" hidden="false" customHeight="false" outlineLevel="0" collapsed="false">
      <c r="A8" s="6" t="s">
        <v>64</v>
      </c>
      <c r="B8" s="9" t="n">
        <v>46143</v>
      </c>
      <c r="C8" s="6" t="n">
        <v>0</v>
      </c>
      <c r="D8" s="6" t="n">
        <v>1</v>
      </c>
    </row>
    <row r="9" customFormat="false" ht="15" hidden="false" customHeight="false" outlineLevel="0" collapsed="false">
      <c r="A9" s="6" t="s">
        <v>64</v>
      </c>
      <c r="B9" s="9" t="n">
        <v>46174</v>
      </c>
      <c r="C9" s="6" t="n">
        <v>1</v>
      </c>
      <c r="D9" s="6" t="n">
        <v>0</v>
      </c>
    </row>
    <row r="10" customFormat="false" ht="15" hidden="false" customHeight="false" outlineLevel="0" collapsed="false">
      <c r="A10" s="6" t="s">
        <v>64</v>
      </c>
      <c r="B10" s="9" t="n">
        <v>46204</v>
      </c>
      <c r="C10" s="6" t="n">
        <v>0</v>
      </c>
      <c r="D10" s="6" t="n">
        <v>1</v>
      </c>
    </row>
    <row r="11" customFormat="false" ht="15" hidden="false" customHeight="false" outlineLevel="0" collapsed="false">
      <c r="A11" s="6" t="s">
        <v>64</v>
      </c>
      <c r="B11" s="9" t="n">
        <v>46235</v>
      </c>
      <c r="C11" s="6" t="n">
        <v>0</v>
      </c>
      <c r="D11" s="6" t="n">
        <v>2</v>
      </c>
    </row>
    <row r="12" customFormat="false" ht="15" hidden="false" customHeight="false" outlineLevel="0" collapsed="false">
      <c r="A12" s="6" t="s">
        <v>64</v>
      </c>
      <c r="B12" s="9" t="n">
        <v>46266</v>
      </c>
      <c r="C12" s="6" t="n">
        <v>0</v>
      </c>
      <c r="D12" s="6" t="n">
        <v>0</v>
      </c>
    </row>
    <row r="13" customFormat="false" ht="15" hidden="false" customHeight="false" outlineLevel="0" collapsed="false">
      <c r="A13" s="6" t="s">
        <v>64</v>
      </c>
      <c r="B13" s="9" t="n">
        <v>46296</v>
      </c>
      <c r="C13" s="6" t="n">
        <v>0</v>
      </c>
      <c r="D13" s="6" t="n">
        <v>1</v>
      </c>
    </row>
    <row r="14" customFormat="false" ht="15" hidden="false" customHeight="false" outlineLevel="0" collapsed="false">
      <c r="A14" s="6" t="s">
        <v>69</v>
      </c>
      <c r="B14" s="9" t="n">
        <v>45962</v>
      </c>
      <c r="C14" s="6" t="n">
        <v>0</v>
      </c>
      <c r="D14" s="6" t="n">
        <v>1</v>
      </c>
    </row>
    <row r="15" customFormat="false" ht="15" hidden="false" customHeight="false" outlineLevel="0" collapsed="false">
      <c r="A15" s="6" t="s">
        <v>69</v>
      </c>
      <c r="B15" s="9" t="n">
        <v>45992</v>
      </c>
      <c r="C15" s="6" t="n">
        <v>0</v>
      </c>
      <c r="D15" s="6" t="n">
        <v>2</v>
      </c>
    </row>
    <row r="16" customFormat="false" ht="15" hidden="false" customHeight="false" outlineLevel="0" collapsed="false">
      <c r="A16" s="6" t="s">
        <v>69</v>
      </c>
      <c r="B16" s="9" t="n">
        <v>46023</v>
      </c>
      <c r="C16" s="6" t="n">
        <v>2</v>
      </c>
      <c r="D16" s="6" t="n">
        <v>2</v>
      </c>
    </row>
    <row r="17" customFormat="false" ht="15" hidden="false" customHeight="false" outlineLevel="0" collapsed="false">
      <c r="A17" s="6" t="s">
        <v>69</v>
      </c>
      <c r="B17" s="9" t="n">
        <v>46054</v>
      </c>
      <c r="C17" s="6" t="n">
        <v>2</v>
      </c>
      <c r="D17" s="6" t="n">
        <v>1</v>
      </c>
    </row>
    <row r="18" customFormat="false" ht="15" hidden="false" customHeight="false" outlineLevel="0" collapsed="false">
      <c r="A18" s="6" t="s">
        <v>69</v>
      </c>
      <c r="B18" s="9" t="n">
        <v>46082</v>
      </c>
      <c r="C18" s="6" t="n">
        <v>0</v>
      </c>
      <c r="D18" s="6" t="n">
        <v>0</v>
      </c>
    </row>
    <row r="19" customFormat="false" ht="15" hidden="false" customHeight="false" outlineLevel="0" collapsed="false">
      <c r="A19" s="6" t="s">
        <v>69</v>
      </c>
      <c r="B19" s="9" t="n">
        <v>46113</v>
      </c>
      <c r="C19" s="6" t="n">
        <v>0</v>
      </c>
      <c r="D19" s="6" t="n">
        <v>2</v>
      </c>
    </row>
    <row r="20" customFormat="false" ht="15" hidden="false" customHeight="false" outlineLevel="0" collapsed="false">
      <c r="A20" s="6" t="s">
        <v>69</v>
      </c>
      <c r="B20" s="9" t="n">
        <v>46143</v>
      </c>
      <c r="C20" s="6" t="n">
        <v>0</v>
      </c>
      <c r="D20" s="6" t="n">
        <v>2</v>
      </c>
    </row>
    <row r="21" customFormat="false" ht="15" hidden="false" customHeight="false" outlineLevel="0" collapsed="false">
      <c r="A21" s="6" t="s">
        <v>69</v>
      </c>
      <c r="B21" s="9" t="n">
        <v>46174</v>
      </c>
      <c r="C21" s="6" t="n">
        <v>1</v>
      </c>
      <c r="D21" s="6" t="n">
        <v>2</v>
      </c>
    </row>
    <row r="22" customFormat="false" ht="15" hidden="false" customHeight="false" outlineLevel="0" collapsed="false">
      <c r="A22" s="6" t="s">
        <v>69</v>
      </c>
      <c r="B22" s="9" t="n">
        <v>46204</v>
      </c>
      <c r="C22" s="6" t="n">
        <v>0</v>
      </c>
      <c r="D22" s="6" t="n">
        <v>0</v>
      </c>
    </row>
    <row r="23" customFormat="false" ht="15" hidden="false" customHeight="false" outlineLevel="0" collapsed="false">
      <c r="A23" s="6" t="s">
        <v>69</v>
      </c>
      <c r="B23" s="9" t="n">
        <v>46235</v>
      </c>
      <c r="C23" s="6" t="n">
        <v>0</v>
      </c>
      <c r="D23" s="6" t="n">
        <v>1</v>
      </c>
    </row>
    <row r="24" customFormat="false" ht="15" hidden="false" customHeight="false" outlineLevel="0" collapsed="false">
      <c r="A24" s="6" t="s">
        <v>69</v>
      </c>
      <c r="B24" s="9" t="n">
        <v>46266</v>
      </c>
      <c r="C24" s="6" t="n">
        <v>0</v>
      </c>
      <c r="D24" s="6" t="n">
        <v>1</v>
      </c>
    </row>
    <row r="25" customFormat="false" ht="15" hidden="false" customHeight="false" outlineLevel="0" collapsed="false">
      <c r="A25" s="6" t="s">
        <v>69</v>
      </c>
      <c r="B25" s="9" t="n">
        <v>46296</v>
      </c>
      <c r="C25" s="6" t="n">
        <v>0</v>
      </c>
      <c r="D25" s="6" t="n">
        <v>0</v>
      </c>
    </row>
    <row r="26" customFormat="false" ht="15" hidden="false" customHeight="false" outlineLevel="0" collapsed="false">
      <c r="A26" s="6" t="s">
        <v>73</v>
      </c>
      <c r="B26" s="9" t="n">
        <v>45962</v>
      </c>
      <c r="C26" s="6" t="n">
        <v>0</v>
      </c>
      <c r="D26" s="6" t="n">
        <v>1</v>
      </c>
    </row>
    <row r="27" customFormat="false" ht="15" hidden="false" customHeight="false" outlineLevel="0" collapsed="false">
      <c r="A27" s="6" t="s">
        <v>73</v>
      </c>
      <c r="B27" s="9" t="n">
        <v>45992</v>
      </c>
      <c r="C27" s="6" t="n">
        <v>0</v>
      </c>
      <c r="D27" s="6" t="n">
        <v>0</v>
      </c>
    </row>
    <row r="28" customFormat="false" ht="15" hidden="false" customHeight="false" outlineLevel="0" collapsed="false">
      <c r="A28" s="6" t="s">
        <v>73</v>
      </c>
      <c r="B28" s="9" t="n">
        <v>46023</v>
      </c>
      <c r="C28" s="6" t="n">
        <v>0</v>
      </c>
      <c r="D28" s="6" t="n">
        <v>1</v>
      </c>
    </row>
    <row r="29" customFormat="false" ht="15" hidden="false" customHeight="false" outlineLevel="0" collapsed="false">
      <c r="A29" s="6" t="s">
        <v>73</v>
      </c>
      <c r="B29" s="9" t="n">
        <v>46054</v>
      </c>
      <c r="C29" s="6" t="n">
        <v>0</v>
      </c>
      <c r="D29" s="6" t="n">
        <v>1</v>
      </c>
    </row>
    <row r="30" customFormat="false" ht="15" hidden="false" customHeight="false" outlineLevel="0" collapsed="false">
      <c r="A30" s="6" t="s">
        <v>73</v>
      </c>
      <c r="B30" s="9" t="n">
        <v>46082</v>
      </c>
      <c r="C30" s="6" t="n">
        <v>1</v>
      </c>
      <c r="D30" s="6" t="n">
        <v>0</v>
      </c>
    </row>
    <row r="31" customFormat="false" ht="15" hidden="false" customHeight="false" outlineLevel="0" collapsed="false">
      <c r="A31" s="6" t="s">
        <v>73</v>
      </c>
      <c r="B31" s="9" t="n">
        <v>46113</v>
      </c>
      <c r="C31" s="6" t="n">
        <v>0</v>
      </c>
      <c r="D31" s="6" t="n">
        <v>1</v>
      </c>
    </row>
    <row r="32" customFormat="false" ht="15" hidden="false" customHeight="false" outlineLevel="0" collapsed="false">
      <c r="A32" s="6" t="s">
        <v>73</v>
      </c>
      <c r="B32" s="9" t="n">
        <v>46143</v>
      </c>
      <c r="C32" s="6" t="n">
        <v>0</v>
      </c>
      <c r="D32" s="6" t="n">
        <v>0</v>
      </c>
    </row>
    <row r="33" customFormat="false" ht="15" hidden="false" customHeight="false" outlineLevel="0" collapsed="false">
      <c r="A33" s="6" t="s">
        <v>73</v>
      </c>
      <c r="B33" s="9" t="n">
        <v>46174</v>
      </c>
      <c r="C33" s="6" t="n">
        <v>1</v>
      </c>
      <c r="D33" s="6" t="n">
        <v>1</v>
      </c>
    </row>
    <row r="34" customFormat="false" ht="15" hidden="false" customHeight="false" outlineLevel="0" collapsed="false">
      <c r="A34" s="6" t="s">
        <v>73</v>
      </c>
      <c r="B34" s="9" t="n">
        <v>46204</v>
      </c>
      <c r="C34" s="6" t="n">
        <v>1</v>
      </c>
      <c r="D34" s="6" t="n">
        <v>1</v>
      </c>
    </row>
    <row r="35" customFormat="false" ht="15" hidden="false" customHeight="false" outlineLevel="0" collapsed="false">
      <c r="A35" s="6" t="s">
        <v>73</v>
      </c>
      <c r="B35" s="9" t="n">
        <v>46235</v>
      </c>
      <c r="C35" s="6" t="n">
        <v>0</v>
      </c>
      <c r="D35" s="6" t="n">
        <v>1</v>
      </c>
    </row>
    <row r="36" customFormat="false" ht="15" hidden="false" customHeight="false" outlineLevel="0" collapsed="false">
      <c r="A36" s="6" t="s">
        <v>73</v>
      </c>
      <c r="B36" s="9" t="n">
        <v>46266</v>
      </c>
      <c r="C36" s="6" t="n">
        <v>0</v>
      </c>
      <c r="D36" s="6" t="n">
        <v>1</v>
      </c>
    </row>
    <row r="37" customFormat="false" ht="15" hidden="false" customHeight="false" outlineLevel="0" collapsed="false">
      <c r="A37" s="6" t="s">
        <v>73</v>
      </c>
      <c r="B37" s="9" t="n">
        <v>46296</v>
      </c>
      <c r="C37" s="6" t="n">
        <v>1</v>
      </c>
      <c r="D37" s="6" t="n">
        <v>0</v>
      </c>
    </row>
    <row r="38" customFormat="false" ht="15" hidden="false" customHeight="false" outlineLevel="0" collapsed="false">
      <c r="A38" s="6" t="s">
        <v>77</v>
      </c>
      <c r="B38" s="9" t="n">
        <v>45962</v>
      </c>
      <c r="C38" s="6" t="n">
        <v>0</v>
      </c>
      <c r="D38" s="6" t="n">
        <v>0</v>
      </c>
    </row>
    <row r="39" customFormat="false" ht="15" hidden="false" customHeight="false" outlineLevel="0" collapsed="false">
      <c r="A39" s="6" t="s">
        <v>77</v>
      </c>
      <c r="B39" s="9" t="n">
        <v>45992</v>
      </c>
      <c r="C39" s="6" t="n">
        <v>1</v>
      </c>
      <c r="D39" s="6" t="n">
        <v>1</v>
      </c>
    </row>
    <row r="40" customFormat="false" ht="15" hidden="false" customHeight="false" outlineLevel="0" collapsed="false">
      <c r="A40" s="6" t="s">
        <v>77</v>
      </c>
      <c r="B40" s="9" t="n">
        <v>46023</v>
      </c>
      <c r="C40" s="6" t="n">
        <v>1</v>
      </c>
      <c r="D40" s="6" t="n">
        <v>2</v>
      </c>
    </row>
    <row r="41" customFormat="false" ht="15" hidden="false" customHeight="false" outlineLevel="0" collapsed="false">
      <c r="A41" s="6" t="s">
        <v>77</v>
      </c>
      <c r="B41" s="9" t="n">
        <v>46054</v>
      </c>
      <c r="C41" s="6" t="n">
        <v>0</v>
      </c>
      <c r="D41" s="6" t="n">
        <v>1</v>
      </c>
    </row>
    <row r="42" customFormat="false" ht="15" hidden="false" customHeight="false" outlineLevel="0" collapsed="false">
      <c r="A42" s="6" t="s">
        <v>77</v>
      </c>
      <c r="B42" s="9" t="n">
        <v>46082</v>
      </c>
      <c r="C42" s="6" t="n">
        <v>1</v>
      </c>
      <c r="D42" s="6" t="n">
        <v>1</v>
      </c>
    </row>
    <row r="43" customFormat="false" ht="15" hidden="false" customHeight="false" outlineLevel="0" collapsed="false">
      <c r="A43" s="6" t="s">
        <v>77</v>
      </c>
      <c r="B43" s="9" t="n">
        <v>46113</v>
      </c>
      <c r="C43" s="6" t="n">
        <v>0</v>
      </c>
      <c r="D43" s="6" t="n">
        <v>2</v>
      </c>
    </row>
    <row r="44" customFormat="false" ht="15" hidden="false" customHeight="false" outlineLevel="0" collapsed="false">
      <c r="A44" s="6" t="s">
        <v>77</v>
      </c>
      <c r="B44" s="9" t="n">
        <v>46143</v>
      </c>
      <c r="C44" s="6" t="n">
        <v>0</v>
      </c>
      <c r="D44" s="6" t="n">
        <v>0</v>
      </c>
    </row>
    <row r="45" customFormat="false" ht="15" hidden="false" customHeight="false" outlineLevel="0" collapsed="false">
      <c r="A45" s="6" t="s">
        <v>77</v>
      </c>
      <c r="B45" s="9" t="n">
        <v>46174</v>
      </c>
      <c r="C45" s="6" t="n">
        <v>0</v>
      </c>
      <c r="D45" s="6" t="n">
        <v>1</v>
      </c>
    </row>
    <row r="46" customFormat="false" ht="15" hidden="false" customHeight="false" outlineLevel="0" collapsed="false">
      <c r="A46" s="6" t="s">
        <v>77</v>
      </c>
      <c r="B46" s="9" t="n">
        <v>46204</v>
      </c>
      <c r="C46" s="6" t="n">
        <v>1</v>
      </c>
      <c r="D46" s="6" t="n">
        <v>0</v>
      </c>
    </row>
    <row r="47" customFormat="false" ht="15" hidden="false" customHeight="false" outlineLevel="0" collapsed="false">
      <c r="A47" s="6" t="s">
        <v>77</v>
      </c>
      <c r="B47" s="9" t="n">
        <v>46235</v>
      </c>
      <c r="C47" s="6" t="n">
        <v>0</v>
      </c>
      <c r="D47" s="6" t="n">
        <v>1</v>
      </c>
    </row>
    <row r="48" customFormat="false" ht="15" hidden="false" customHeight="false" outlineLevel="0" collapsed="false">
      <c r="A48" s="6" t="s">
        <v>77</v>
      </c>
      <c r="B48" s="9" t="n">
        <v>46266</v>
      </c>
      <c r="C48" s="6" t="n">
        <v>1</v>
      </c>
      <c r="D48" s="6" t="n">
        <v>2</v>
      </c>
    </row>
    <row r="49" customFormat="false" ht="15" hidden="false" customHeight="false" outlineLevel="0" collapsed="false">
      <c r="A49" s="6" t="s">
        <v>77</v>
      </c>
      <c r="B49" s="9" t="n">
        <v>46296</v>
      </c>
      <c r="C49" s="6" t="n">
        <v>1</v>
      </c>
      <c r="D4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56</v>
      </c>
      <c r="B1" s="3" t="s">
        <v>81</v>
      </c>
      <c r="C1" s="3" t="s">
        <v>110</v>
      </c>
      <c r="D1" s="3" t="s">
        <v>111</v>
      </c>
    </row>
    <row r="2" customFormat="false" ht="15" hidden="false" customHeight="false" outlineLevel="0" collapsed="false">
      <c r="A2" s="6" t="s">
        <v>64</v>
      </c>
      <c r="B2" s="6" t="s">
        <v>82</v>
      </c>
      <c r="C2" s="6" t="s">
        <v>112</v>
      </c>
      <c r="D2" s="6" t="n">
        <v>1</v>
      </c>
    </row>
    <row r="3" customFormat="false" ht="15" hidden="false" customHeight="false" outlineLevel="0" collapsed="false">
      <c r="A3" s="6" t="s">
        <v>64</v>
      </c>
      <c r="B3" s="6" t="s">
        <v>82</v>
      </c>
      <c r="C3" s="6" t="s">
        <v>113</v>
      </c>
      <c r="D3" s="6" t="n">
        <v>0</v>
      </c>
    </row>
    <row r="4" customFormat="false" ht="15" hidden="false" customHeight="false" outlineLevel="0" collapsed="false">
      <c r="A4" s="6" t="s">
        <v>64</v>
      </c>
      <c r="B4" s="6" t="s">
        <v>82</v>
      </c>
      <c r="C4" s="6" t="s">
        <v>114</v>
      </c>
      <c r="D4" s="6" t="n">
        <v>0</v>
      </c>
    </row>
    <row r="5" customFormat="false" ht="15" hidden="false" customHeight="false" outlineLevel="0" collapsed="false">
      <c r="A5" s="6" t="s">
        <v>64</v>
      </c>
      <c r="B5" s="6" t="s">
        <v>82</v>
      </c>
      <c r="C5" s="6" t="s">
        <v>115</v>
      </c>
      <c r="D5" s="6" t="n">
        <v>5</v>
      </c>
    </row>
    <row r="6" customFormat="false" ht="15" hidden="false" customHeight="false" outlineLevel="0" collapsed="false">
      <c r="A6" s="6" t="s">
        <v>64</v>
      </c>
      <c r="B6" s="6" t="s">
        <v>82</v>
      </c>
      <c r="C6" s="6" t="s">
        <v>116</v>
      </c>
      <c r="D6" s="6" t="n">
        <v>1</v>
      </c>
    </row>
    <row r="7" customFormat="false" ht="15" hidden="false" customHeight="false" outlineLevel="0" collapsed="false">
      <c r="A7" s="6" t="s">
        <v>64</v>
      </c>
      <c r="B7" s="6" t="s">
        <v>82</v>
      </c>
      <c r="C7" s="6" t="s">
        <v>117</v>
      </c>
      <c r="D7" s="6" t="n">
        <v>4</v>
      </c>
    </row>
    <row r="8" customFormat="false" ht="15" hidden="false" customHeight="false" outlineLevel="0" collapsed="false">
      <c r="A8" s="6" t="s">
        <v>64</v>
      </c>
      <c r="B8" s="6" t="s">
        <v>83</v>
      </c>
      <c r="C8" s="6" t="s">
        <v>112</v>
      </c>
      <c r="D8" s="6" t="n">
        <v>5</v>
      </c>
    </row>
    <row r="9" customFormat="false" ht="15" hidden="false" customHeight="false" outlineLevel="0" collapsed="false">
      <c r="A9" s="6" t="s">
        <v>64</v>
      </c>
      <c r="B9" s="6" t="s">
        <v>83</v>
      </c>
      <c r="C9" s="6" t="s">
        <v>113</v>
      </c>
      <c r="D9" s="6" t="n">
        <v>3</v>
      </c>
    </row>
    <row r="10" customFormat="false" ht="15" hidden="false" customHeight="false" outlineLevel="0" collapsed="false">
      <c r="A10" s="6" t="s">
        <v>64</v>
      </c>
      <c r="B10" s="6" t="s">
        <v>83</v>
      </c>
      <c r="C10" s="6" t="s">
        <v>114</v>
      </c>
      <c r="D10" s="6" t="n">
        <v>1</v>
      </c>
    </row>
    <row r="11" customFormat="false" ht="15" hidden="false" customHeight="false" outlineLevel="0" collapsed="false">
      <c r="A11" s="6" t="s">
        <v>64</v>
      </c>
      <c r="B11" s="6" t="s">
        <v>83</v>
      </c>
      <c r="C11" s="6" t="s">
        <v>115</v>
      </c>
      <c r="D11" s="6" t="n">
        <v>3</v>
      </c>
    </row>
    <row r="12" customFormat="false" ht="15" hidden="false" customHeight="false" outlineLevel="0" collapsed="false">
      <c r="A12" s="6" t="s">
        <v>64</v>
      </c>
      <c r="B12" s="6" t="s">
        <v>83</v>
      </c>
      <c r="C12" s="6" t="s">
        <v>116</v>
      </c>
      <c r="D12" s="6" t="n">
        <v>4</v>
      </c>
    </row>
    <row r="13" customFormat="false" ht="15" hidden="false" customHeight="false" outlineLevel="0" collapsed="false">
      <c r="A13" s="6" t="s">
        <v>64</v>
      </c>
      <c r="B13" s="6" t="s">
        <v>83</v>
      </c>
      <c r="C13" s="6" t="s">
        <v>117</v>
      </c>
      <c r="D13" s="6" t="n">
        <v>3</v>
      </c>
    </row>
    <row r="14" customFormat="false" ht="15" hidden="false" customHeight="false" outlineLevel="0" collapsed="false">
      <c r="A14" s="6" t="s">
        <v>64</v>
      </c>
      <c r="B14" s="6" t="s">
        <v>84</v>
      </c>
      <c r="C14" s="6" t="s">
        <v>112</v>
      </c>
      <c r="D14" s="6" t="n">
        <v>6</v>
      </c>
    </row>
    <row r="15" customFormat="false" ht="15" hidden="false" customHeight="false" outlineLevel="0" collapsed="false">
      <c r="A15" s="6" t="s">
        <v>64</v>
      </c>
      <c r="B15" s="6" t="s">
        <v>84</v>
      </c>
      <c r="C15" s="6" t="s">
        <v>113</v>
      </c>
      <c r="D15" s="6" t="n">
        <v>4</v>
      </c>
    </row>
    <row r="16" customFormat="false" ht="15" hidden="false" customHeight="false" outlineLevel="0" collapsed="false">
      <c r="A16" s="6" t="s">
        <v>64</v>
      </c>
      <c r="B16" s="6" t="s">
        <v>84</v>
      </c>
      <c r="C16" s="6" t="s">
        <v>114</v>
      </c>
      <c r="D16" s="6" t="n">
        <v>1</v>
      </c>
    </row>
    <row r="17" customFormat="false" ht="15" hidden="false" customHeight="false" outlineLevel="0" collapsed="false">
      <c r="A17" s="6" t="s">
        <v>64</v>
      </c>
      <c r="B17" s="6" t="s">
        <v>84</v>
      </c>
      <c r="C17" s="6" t="s">
        <v>115</v>
      </c>
      <c r="D17" s="6" t="n">
        <v>2</v>
      </c>
    </row>
    <row r="18" customFormat="false" ht="15" hidden="false" customHeight="false" outlineLevel="0" collapsed="false">
      <c r="A18" s="6" t="s">
        <v>64</v>
      </c>
      <c r="B18" s="6" t="s">
        <v>84</v>
      </c>
      <c r="C18" s="6" t="s">
        <v>116</v>
      </c>
      <c r="D18" s="6" t="n">
        <v>5</v>
      </c>
    </row>
    <row r="19" customFormat="false" ht="15" hidden="false" customHeight="false" outlineLevel="0" collapsed="false">
      <c r="A19" s="6" t="s">
        <v>64</v>
      </c>
      <c r="B19" s="6" t="s">
        <v>84</v>
      </c>
      <c r="C19" s="6" t="s">
        <v>117</v>
      </c>
      <c r="D19" s="6" t="n">
        <v>1</v>
      </c>
    </row>
    <row r="20" customFormat="false" ht="15" hidden="false" customHeight="false" outlineLevel="0" collapsed="false">
      <c r="A20" s="6" t="s">
        <v>64</v>
      </c>
      <c r="B20" s="6" t="s">
        <v>85</v>
      </c>
      <c r="C20" s="6" t="s">
        <v>112</v>
      </c>
      <c r="D20" s="6" t="n">
        <v>2</v>
      </c>
    </row>
    <row r="21" customFormat="false" ht="15" hidden="false" customHeight="false" outlineLevel="0" collapsed="false">
      <c r="A21" s="6" t="s">
        <v>64</v>
      </c>
      <c r="B21" s="6" t="s">
        <v>85</v>
      </c>
      <c r="C21" s="6" t="s">
        <v>113</v>
      </c>
      <c r="D21" s="6" t="n">
        <v>1</v>
      </c>
    </row>
    <row r="22" customFormat="false" ht="15" hidden="false" customHeight="false" outlineLevel="0" collapsed="false">
      <c r="A22" s="6" t="s">
        <v>64</v>
      </c>
      <c r="B22" s="6" t="s">
        <v>85</v>
      </c>
      <c r="C22" s="6" t="s">
        <v>114</v>
      </c>
      <c r="D22" s="6" t="n">
        <v>0</v>
      </c>
    </row>
    <row r="23" customFormat="false" ht="15" hidden="false" customHeight="false" outlineLevel="0" collapsed="false">
      <c r="A23" s="6" t="s">
        <v>64</v>
      </c>
      <c r="B23" s="6" t="s">
        <v>85</v>
      </c>
      <c r="C23" s="6" t="s">
        <v>115</v>
      </c>
      <c r="D23" s="6" t="n">
        <v>5</v>
      </c>
    </row>
    <row r="24" customFormat="false" ht="15" hidden="false" customHeight="false" outlineLevel="0" collapsed="false">
      <c r="A24" s="6" t="s">
        <v>64</v>
      </c>
      <c r="B24" s="6" t="s">
        <v>85</v>
      </c>
      <c r="C24" s="6" t="s">
        <v>116</v>
      </c>
      <c r="D24" s="6" t="n">
        <v>4</v>
      </c>
    </row>
    <row r="25" customFormat="false" ht="15" hidden="false" customHeight="false" outlineLevel="0" collapsed="false">
      <c r="A25" s="6" t="s">
        <v>64</v>
      </c>
      <c r="B25" s="6" t="s">
        <v>85</v>
      </c>
      <c r="C25" s="6" t="s">
        <v>117</v>
      </c>
      <c r="D25" s="6" t="n">
        <v>1</v>
      </c>
    </row>
    <row r="26" customFormat="false" ht="15" hidden="false" customHeight="false" outlineLevel="0" collapsed="false">
      <c r="A26" s="6" t="s">
        <v>64</v>
      </c>
      <c r="B26" s="6" t="s">
        <v>86</v>
      </c>
      <c r="C26" s="6" t="s">
        <v>112</v>
      </c>
      <c r="D26" s="6" t="n">
        <v>1</v>
      </c>
    </row>
    <row r="27" customFormat="false" ht="15" hidden="false" customHeight="false" outlineLevel="0" collapsed="false">
      <c r="A27" s="6" t="s">
        <v>64</v>
      </c>
      <c r="B27" s="6" t="s">
        <v>86</v>
      </c>
      <c r="C27" s="6" t="s">
        <v>113</v>
      </c>
      <c r="D27" s="6" t="n">
        <v>0</v>
      </c>
    </row>
    <row r="28" customFormat="false" ht="15" hidden="false" customHeight="false" outlineLevel="0" collapsed="false">
      <c r="A28" s="6" t="s">
        <v>64</v>
      </c>
      <c r="B28" s="6" t="s">
        <v>86</v>
      </c>
      <c r="C28" s="6" t="s">
        <v>114</v>
      </c>
      <c r="D28" s="6" t="n">
        <v>4</v>
      </c>
    </row>
    <row r="29" customFormat="false" ht="15" hidden="false" customHeight="false" outlineLevel="0" collapsed="false">
      <c r="A29" s="6" t="s">
        <v>64</v>
      </c>
      <c r="B29" s="6" t="s">
        <v>86</v>
      </c>
      <c r="C29" s="6" t="s">
        <v>115</v>
      </c>
      <c r="D29" s="6" t="n">
        <v>2</v>
      </c>
    </row>
    <row r="30" customFormat="false" ht="15" hidden="false" customHeight="false" outlineLevel="0" collapsed="false">
      <c r="A30" s="6" t="s">
        <v>64</v>
      </c>
      <c r="B30" s="6" t="s">
        <v>86</v>
      </c>
      <c r="C30" s="6" t="s">
        <v>116</v>
      </c>
      <c r="D30" s="6" t="n">
        <v>1</v>
      </c>
    </row>
    <row r="31" customFormat="false" ht="15" hidden="false" customHeight="false" outlineLevel="0" collapsed="false">
      <c r="A31" s="6" t="s">
        <v>64</v>
      </c>
      <c r="B31" s="6" t="s">
        <v>86</v>
      </c>
      <c r="C31" s="6" t="s">
        <v>117</v>
      </c>
      <c r="D31" s="6" t="n">
        <v>4</v>
      </c>
    </row>
    <row r="32" customFormat="false" ht="15" hidden="false" customHeight="false" outlineLevel="0" collapsed="false">
      <c r="A32" s="6" t="s">
        <v>64</v>
      </c>
      <c r="B32" s="6" t="s">
        <v>87</v>
      </c>
      <c r="C32" s="6" t="s">
        <v>112</v>
      </c>
      <c r="D32" s="6" t="n">
        <v>1</v>
      </c>
    </row>
    <row r="33" customFormat="false" ht="15" hidden="false" customHeight="false" outlineLevel="0" collapsed="false">
      <c r="A33" s="6" t="s">
        <v>64</v>
      </c>
      <c r="B33" s="6" t="s">
        <v>87</v>
      </c>
      <c r="C33" s="6" t="s">
        <v>113</v>
      </c>
      <c r="D33" s="6" t="n">
        <v>0</v>
      </c>
    </row>
    <row r="34" customFormat="false" ht="15" hidden="false" customHeight="false" outlineLevel="0" collapsed="false">
      <c r="A34" s="6" t="s">
        <v>64</v>
      </c>
      <c r="B34" s="6" t="s">
        <v>87</v>
      </c>
      <c r="C34" s="6" t="s">
        <v>114</v>
      </c>
      <c r="D34" s="6" t="n">
        <v>0</v>
      </c>
    </row>
    <row r="35" customFormat="false" ht="15" hidden="false" customHeight="false" outlineLevel="0" collapsed="false">
      <c r="A35" s="6" t="s">
        <v>64</v>
      </c>
      <c r="B35" s="6" t="s">
        <v>87</v>
      </c>
      <c r="C35" s="6" t="s">
        <v>115</v>
      </c>
      <c r="D35" s="6" t="n">
        <v>3</v>
      </c>
    </row>
    <row r="36" customFormat="false" ht="15" hidden="false" customHeight="false" outlineLevel="0" collapsed="false">
      <c r="A36" s="6" t="s">
        <v>64</v>
      </c>
      <c r="B36" s="6" t="s">
        <v>87</v>
      </c>
      <c r="C36" s="6" t="s">
        <v>116</v>
      </c>
      <c r="D36" s="6" t="n">
        <v>1</v>
      </c>
    </row>
    <row r="37" customFormat="false" ht="15" hidden="false" customHeight="false" outlineLevel="0" collapsed="false">
      <c r="A37" s="6" t="s">
        <v>64</v>
      </c>
      <c r="B37" s="6" t="s">
        <v>87</v>
      </c>
      <c r="C37" s="6" t="s">
        <v>117</v>
      </c>
      <c r="D37" s="6" t="n">
        <v>2</v>
      </c>
    </row>
    <row r="38" customFormat="false" ht="15" hidden="false" customHeight="false" outlineLevel="0" collapsed="false">
      <c r="A38" s="6" t="s">
        <v>69</v>
      </c>
      <c r="B38" s="6" t="s">
        <v>82</v>
      </c>
      <c r="C38" s="6" t="s">
        <v>112</v>
      </c>
      <c r="D38" s="6" t="n">
        <v>1</v>
      </c>
    </row>
    <row r="39" customFormat="false" ht="15" hidden="false" customHeight="false" outlineLevel="0" collapsed="false">
      <c r="A39" s="6" t="s">
        <v>69</v>
      </c>
      <c r="B39" s="6" t="s">
        <v>82</v>
      </c>
      <c r="C39" s="6" t="s">
        <v>113</v>
      </c>
      <c r="D39" s="6" t="n">
        <v>0</v>
      </c>
    </row>
    <row r="40" customFormat="false" ht="15" hidden="false" customHeight="false" outlineLevel="0" collapsed="false">
      <c r="A40" s="6" t="s">
        <v>69</v>
      </c>
      <c r="B40" s="6" t="s">
        <v>82</v>
      </c>
      <c r="C40" s="6" t="s">
        <v>114</v>
      </c>
      <c r="D40" s="6" t="n">
        <v>0</v>
      </c>
    </row>
    <row r="41" customFormat="false" ht="15" hidden="false" customHeight="false" outlineLevel="0" collapsed="false">
      <c r="A41" s="6" t="s">
        <v>69</v>
      </c>
      <c r="B41" s="6" t="s">
        <v>82</v>
      </c>
      <c r="C41" s="6" t="s">
        <v>115</v>
      </c>
      <c r="D41" s="6" t="n">
        <v>6</v>
      </c>
    </row>
    <row r="42" customFormat="false" ht="15" hidden="false" customHeight="false" outlineLevel="0" collapsed="false">
      <c r="A42" s="6" t="s">
        <v>69</v>
      </c>
      <c r="B42" s="6" t="s">
        <v>82</v>
      </c>
      <c r="C42" s="6" t="s">
        <v>116</v>
      </c>
      <c r="D42" s="6" t="n">
        <v>1</v>
      </c>
    </row>
    <row r="43" customFormat="false" ht="15" hidden="false" customHeight="false" outlineLevel="0" collapsed="false">
      <c r="A43" s="6" t="s">
        <v>69</v>
      </c>
      <c r="B43" s="6" t="s">
        <v>82</v>
      </c>
      <c r="C43" s="6" t="s">
        <v>117</v>
      </c>
      <c r="D43" s="6" t="n">
        <v>4</v>
      </c>
    </row>
    <row r="44" customFormat="false" ht="15" hidden="false" customHeight="false" outlineLevel="0" collapsed="false">
      <c r="A44" s="6" t="s">
        <v>69</v>
      </c>
      <c r="B44" s="6" t="s">
        <v>83</v>
      </c>
      <c r="C44" s="6" t="s">
        <v>112</v>
      </c>
      <c r="D44" s="6" t="n">
        <v>4</v>
      </c>
    </row>
    <row r="45" customFormat="false" ht="15" hidden="false" customHeight="false" outlineLevel="0" collapsed="false">
      <c r="A45" s="6" t="s">
        <v>69</v>
      </c>
      <c r="B45" s="6" t="s">
        <v>83</v>
      </c>
      <c r="C45" s="6" t="s">
        <v>113</v>
      </c>
      <c r="D45" s="6" t="n">
        <v>3</v>
      </c>
    </row>
    <row r="46" customFormat="false" ht="15" hidden="false" customHeight="false" outlineLevel="0" collapsed="false">
      <c r="A46" s="6" t="s">
        <v>69</v>
      </c>
      <c r="B46" s="6" t="s">
        <v>83</v>
      </c>
      <c r="C46" s="6" t="s">
        <v>114</v>
      </c>
      <c r="D46" s="6" t="n">
        <v>1</v>
      </c>
    </row>
    <row r="47" customFormat="false" ht="15" hidden="false" customHeight="false" outlineLevel="0" collapsed="false">
      <c r="A47" s="6" t="s">
        <v>69</v>
      </c>
      <c r="B47" s="6" t="s">
        <v>83</v>
      </c>
      <c r="C47" s="6" t="s">
        <v>115</v>
      </c>
      <c r="D47" s="6" t="n">
        <v>4</v>
      </c>
    </row>
    <row r="48" customFormat="false" ht="15" hidden="false" customHeight="false" outlineLevel="0" collapsed="false">
      <c r="A48" s="6" t="s">
        <v>69</v>
      </c>
      <c r="B48" s="6" t="s">
        <v>83</v>
      </c>
      <c r="C48" s="6" t="s">
        <v>116</v>
      </c>
      <c r="D48" s="6" t="n">
        <v>8</v>
      </c>
    </row>
    <row r="49" customFormat="false" ht="15" hidden="false" customHeight="false" outlineLevel="0" collapsed="false">
      <c r="A49" s="6" t="s">
        <v>69</v>
      </c>
      <c r="B49" s="6" t="s">
        <v>83</v>
      </c>
      <c r="C49" s="6" t="s">
        <v>117</v>
      </c>
      <c r="D49" s="6" t="n">
        <v>2</v>
      </c>
    </row>
    <row r="50" customFormat="false" ht="15" hidden="false" customHeight="false" outlineLevel="0" collapsed="false">
      <c r="A50" s="6" t="s">
        <v>69</v>
      </c>
      <c r="B50" s="6" t="s">
        <v>84</v>
      </c>
      <c r="C50" s="6" t="s">
        <v>112</v>
      </c>
      <c r="D50" s="6" t="n">
        <v>5</v>
      </c>
    </row>
    <row r="51" customFormat="false" ht="15" hidden="false" customHeight="false" outlineLevel="0" collapsed="false">
      <c r="A51" s="6" t="s">
        <v>69</v>
      </c>
      <c r="B51" s="6" t="s">
        <v>84</v>
      </c>
      <c r="C51" s="6" t="s">
        <v>113</v>
      </c>
      <c r="D51" s="6" t="n">
        <v>6</v>
      </c>
    </row>
    <row r="52" customFormat="false" ht="15" hidden="false" customHeight="false" outlineLevel="0" collapsed="false">
      <c r="A52" s="6" t="s">
        <v>69</v>
      </c>
      <c r="B52" s="6" t="s">
        <v>84</v>
      </c>
      <c r="C52" s="6" t="s">
        <v>114</v>
      </c>
      <c r="D52" s="6" t="n">
        <v>1</v>
      </c>
    </row>
    <row r="53" customFormat="false" ht="15" hidden="false" customHeight="false" outlineLevel="0" collapsed="false">
      <c r="A53" s="6" t="s">
        <v>69</v>
      </c>
      <c r="B53" s="6" t="s">
        <v>84</v>
      </c>
      <c r="C53" s="6" t="s">
        <v>115</v>
      </c>
      <c r="D53" s="6" t="n">
        <v>4</v>
      </c>
    </row>
    <row r="54" customFormat="false" ht="15" hidden="false" customHeight="false" outlineLevel="0" collapsed="false">
      <c r="A54" s="6" t="s">
        <v>69</v>
      </c>
      <c r="B54" s="6" t="s">
        <v>84</v>
      </c>
      <c r="C54" s="6" t="s">
        <v>116</v>
      </c>
      <c r="D54" s="6" t="n">
        <v>9</v>
      </c>
    </row>
    <row r="55" customFormat="false" ht="15" hidden="false" customHeight="false" outlineLevel="0" collapsed="false">
      <c r="A55" s="6" t="s">
        <v>69</v>
      </c>
      <c r="B55" s="6" t="s">
        <v>84</v>
      </c>
      <c r="C55" s="6" t="s">
        <v>117</v>
      </c>
      <c r="D55" s="6" t="n">
        <v>2</v>
      </c>
    </row>
    <row r="56" customFormat="false" ht="15" hidden="false" customHeight="false" outlineLevel="0" collapsed="false">
      <c r="A56" s="6" t="s">
        <v>69</v>
      </c>
      <c r="B56" s="6" t="s">
        <v>85</v>
      </c>
      <c r="C56" s="6" t="s">
        <v>112</v>
      </c>
      <c r="D56" s="6" t="n">
        <v>4</v>
      </c>
    </row>
    <row r="57" customFormat="false" ht="15" hidden="false" customHeight="false" outlineLevel="0" collapsed="false">
      <c r="A57" s="6" t="s">
        <v>69</v>
      </c>
      <c r="B57" s="6" t="s">
        <v>85</v>
      </c>
      <c r="C57" s="6" t="s">
        <v>113</v>
      </c>
      <c r="D57" s="6" t="n">
        <v>1</v>
      </c>
    </row>
    <row r="58" customFormat="false" ht="15" hidden="false" customHeight="false" outlineLevel="0" collapsed="false">
      <c r="A58" s="6" t="s">
        <v>69</v>
      </c>
      <c r="B58" s="6" t="s">
        <v>85</v>
      </c>
      <c r="C58" s="6" t="s">
        <v>114</v>
      </c>
      <c r="D58" s="6" t="n">
        <v>0</v>
      </c>
    </row>
    <row r="59" customFormat="false" ht="15" hidden="false" customHeight="false" outlineLevel="0" collapsed="false">
      <c r="A59" s="6" t="s">
        <v>69</v>
      </c>
      <c r="B59" s="6" t="s">
        <v>85</v>
      </c>
      <c r="C59" s="6" t="s">
        <v>115</v>
      </c>
      <c r="D59" s="6" t="n">
        <v>5</v>
      </c>
    </row>
    <row r="60" customFormat="false" ht="15" hidden="false" customHeight="false" outlineLevel="0" collapsed="false">
      <c r="A60" s="6" t="s">
        <v>69</v>
      </c>
      <c r="B60" s="6" t="s">
        <v>85</v>
      </c>
      <c r="C60" s="6" t="s">
        <v>116</v>
      </c>
      <c r="D60" s="6" t="n">
        <v>6</v>
      </c>
    </row>
    <row r="61" customFormat="false" ht="15" hidden="false" customHeight="false" outlineLevel="0" collapsed="false">
      <c r="A61" s="6" t="s">
        <v>69</v>
      </c>
      <c r="B61" s="6" t="s">
        <v>85</v>
      </c>
      <c r="C61" s="6" t="s">
        <v>117</v>
      </c>
      <c r="D61" s="6" t="n">
        <v>2</v>
      </c>
    </row>
    <row r="62" customFormat="false" ht="15" hidden="false" customHeight="false" outlineLevel="0" collapsed="false">
      <c r="A62" s="6" t="s">
        <v>69</v>
      </c>
      <c r="B62" s="6" t="s">
        <v>86</v>
      </c>
      <c r="C62" s="6" t="s">
        <v>112</v>
      </c>
      <c r="D62" s="6" t="n">
        <v>1</v>
      </c>
    </row>
    <row r="63" customFormat="false" ht="15" hidden="false" customHeight="false" outlineLevel="0" collapsed="false">
      <c r="A63" s="6" t="s">
        <v>69</v>
      </c>
      <c r="B63" s="6" t="s">
        <v>86</v>
      </c>
      <c r="C63" s="6" t="s">
        <v>113</v>
      </c>
      <c r="D63" s="6" t="n">
        <v>0</v>
      </c>
    </row>
    <row r="64" customFormat="false" ht="15" hidden="false" customHeight="false" outlineLevel="0" collapsed="false">
      <c r="A64" s="6" t="s">
        <v>69</v>
      </c>
      <c r="B64" s="6" t="s">
        <v>86</v>
      </c>
      <c r="C64" s="6" t="s">
        <v>114</v>
      </c>
      <c r="D64" s="6" t="n">
        <v>4</v>
      </c>
    </row>
    <row r="65" customFormat="false" ht="15" hidden="false" customHeight="false" outlineLevel="0" collapsed="false">
      <c r="A65" s="6" t="s">
        <v>69</v>
      </c>
      <c r="B65" s="6" t="s">
        <v>86</v>
      </c>
      <c r="C65" s="6" t="s">
        <v>115</v>
      </c>
      <c r="D65" s="6" t="n">
        <v>3</v>
      </c>
    </row>
    <row r="66" customFormat="false" ht="15" hidden="false" customHeight="false" outlineLevel="0" collapsed="false">
      <c r="A66" s="6" t="s">
        <v>69</v>
      </c>
      <c r="B66" s="6" t="s">
        <v>86</v>
      </c>
      <c r="C66" s="6" t="s">
        <v>116</v>
      </c>
      <c r="D66" s="6" t="n">
        <v>1</v>
      </c>
    </row>
    <row r="67" customFormat="false" ht="15" hidden="false" customHeight="false" outlineLevel="0" collapsed="false">
      <c r="A67" s="6" t="s">
        <v>69</v>
      </c>
      <c r="B67" s="6" t="s">
        <v>86</v>
      </c>
      <c r="C67" s="6" t="s">
        <v>117</v>
      </c>
      <c r="D67" s="6" t="n">
        <v>5</v>
      </c>
    </row>
    <row r="68" customFormat="false" ht="15" hidden="false" customHeight="false" outlineLevel="0" collapsed="false">
      <c r="A68" s="6" t="s">
        <v>69</v>
      </c>
      <c r="B68" s="6" t="s">
        <v>87</v>
      </c>
      <c r="C68" s="6" t="s">
        <v>112</v>
      </c>
      <c r="D68" s="6" t="n">
        <v>1</v>
      </c>
    </row>
    <row r="69" customFormat="false" ht="15" hidden="false" customHeight="false" outlineLevel="0" collapsed="false">
      <c r="A69" s="6" t="s">
        <v>69</v>
      </c>
      <c r="B69" s="6" t="s">
        <v>87</v>
      </c>
      <c r="C69" s="6" t="s">
        <v>113</v>
      </c>
      <c r="D69" s="6" t="n">
        <v>0</v>
      </c>
    </row>
    <row r="70" customFormat="false" ht="15" hidden="false" customHeight="false" outlineLevel="0" collapsed="false">
      <c r="A70" s="6" t="s">
        <v>69</v>
      </c>
      <c r="B70" s="6" t="s">
        <v>87</v>
      </c>
      <c r="C70" s="6" t="s">
        <v>114</v>
      </c>
      <c r="D70" s="6" t="n">
        <v>0</v>
      </c>
    </row>
    <row r="71" customFormat="false" ht="15" hidden="false" customHeight="false" outlineLevel="0" collapsed="false">
      <c r="A71" s="6" t="s">
        <v>69</v>
      </c>
      <c r="B71" s="6" t="s">
        <v>87</v>
      </c>
      <c r="C71" s="6" t="s">
        <v>115</v>
      </c>
      <c r="D71" s="6" t="n">
        <v>4</v>
      </c>
    </row>
    <row r="72" customFormat="false" ht="15" hidden="false" customHeight="false" outlineLevel="0" collapsed="false">
      <c r="A72" s="6" t="s">
        <v>69</v>
      </c>
      <c r="B72" s="6" t="s">
        <v>87</v>
      </c>
      <c r="C72" s="6" t="s">
        <v>116</v>
      </c>
      <c r="D72" s="6" t="n">
        <v>1</v>
      </c>
    </row>
    <row r="73" customFormat="false" ht="15" hidden="false" customHeight="false" outlineLevel="0" collapsed="false">
      <c r="A73" s="6" t="s">
        <v>69</v>
      </c>
      <c r="B73" s="6" t="s">
        <v>87</v>
      </c>
      <c r="C73" s="6" t="s">
        <v>117</v>
      </c>
      <c r="D73" s="6" t="n">
        <v>2</v>
      </c>
    </row>
    <row r="74" customFormat="false" ht="15" hidden="false" customHeight="false" outlineLevel="0" collapsed="false">
      <c r="A74" s="6" t="s">
        <v>73</v>
      </c>
      <c r="B74" s="6" t="s">
        <v>82</v>
      </c>
      <c r="C74" s="6" t="s">
        <v>112</v>
      </c>
      <c r="D74" s="6" t="n">
        <v>1</v>
      </c>
    </row>
    <row r="75" customFormat="false" ht="15" hidden="false" customHeight="false" outlineLevel="0" collapsed="false">
      <c r="A75" s="6" t="s">
        <v>73</v>
      </c>
      <c r="B75" s="6" t="s">
        <v>82</v>
      </c>
      <c r="C75" s="6" t="s">
        <v>113</v>
      </c>
      <c r="D75" s="6" t="n">
        <v>0</v>
      </c>
    </row>
    <row r="76" customFormat="false" ht="15" hidden="false" customHeight="false" outlineLevel="0" collapsed="false">
      <c r="A76" s="6" t="s">
        <v>73</v>
      </c>
      <c r="B76" s="6" t="s">
        <v>82</v>
      </c>
      <c r="C76" s="6" t="s">
        <v>114</v>
      </c>
      <c r="D76" s="6" t="n">
        <v>0</v>
      </c>
    </row>
    <row r="77" customFormat="false" ht="15" hidden="false" customHeight="false" outlineLevel="0" collapsed="false">
      <c r="A77" s="6" t="s">
        <v>73</v>
      </c>
      <c r="B77" s="6" t="s">
        <v>82</v>
      </c>
      <c r="C77" s="6" t="s">
        <v>115</v>
      </c>
      <c r="D77" s="6" t="n">
        <v>3</v>
      </c>
    </row>
    <row r="78" customFormat="false" ht="15" hidden="false" customHeight="false" outlineLevel="0" collapsed="false">
      <c r="A78" s="6" t="s">
        <v>73</v>
      </c>
      <c r="B78" s="6" t="s">
        <v>82</v>
      </c>
      <c r="C78" s="6" t="s">
        <v>116</v>
      </c>
      <c r="D78" s="6" t="n">
        <v>1</v>
      </c>
    </row>
    <row r="79" customFormat="false" ht="15" hidden="false" customHeight="false" outlineLevel="0" collapsed="false">
      <c r="A79" s="6" t="s">
        <v>73</v>
      </c>
      <c r="B79" s="6" t="s">
        <v>82</v>
      </c>
      <c r="C79" s="6" t="s">
        <v>117</v>
      </c>
      <c r="D79" s="6" t="n">
        <v>2</v>
      </c>
    </row>
    <row r="80" customFormat="false" ht="15" hidden="false" customHeight="false" outlineLevel="0" collapsed="false">
      <c r="A80" s="6" t="s">
        <v>73</v>
      </c>
      <c r="B80" s="6" t="s">
        <v>83</v>
      </c>
      <c r="C80" s="6" t="s">
        <v>112</v>
      </c>
      <c r="D80" s="6" t="n">
        <v>3</v>
      </c>
    </row>
    <row r="81" customFormat="false" ht="15" hidden="false" customHeight="false" outlineLevel="0" collapsed="false">
      <c r="A81" s="6" t="s">
        <v>73</v>
      </c>
      <c r="B81" s="6" t="s">
        <v>83</v>
      </c>
      <c r="C81" s="6" t="s">
        <v>113</v>
      </c>
      <c r="D81" s="6" t="n">
        <v>2</v>
      </c>
    </row>
    <row r="82" customFormat="false" ht="15" hidden="false" customHeight="false" outlineLevel="0" collapsed="false">
      <c r="A82" s="6" t="s">
        <v>73</v>
      </c>
      <c r="B82" s="6" t="s">
        <v>83</v>
      </c>
      <c r="C82" s="6" t="s">
        <v>114</v>
      </c>
      <c r="D82" s="6" t="n">
        <v>1</v>
      </c>
    </row>
    <row r="83" customFormat="false" ht="15" hidden="false" customHeight="false" outlineLevel="0" collapsed="false">
      <c r="A83" s="6" t="s">
        <v>73</v>
      </c>
      <c r="B83" s="6" t="s">
        <v>83</v>
      </c>
      <c r="C83" s="6" t="s">
        <v>115</v>
      </c>
      <c r="D83" s="6" t="n">
        <v>2</v>
      </c>
    </row>
    <row r="84" customFormat="false" ht="15" hidden="false" customHeight="false" outlineLevel="0" collapsed="false">
      <c r="A84" s="6" t="s">
        <v>73</v>
      </c>
      <c r="B84" s="6" t="s">
        <v>83</v>
      </c>
      <c r="C84" s="6" t="s">
        <v>116</v>
      </c>
      <c r="D84" s="6" t="n">
        <v>4</v>
      </c>
    </row>
    <row r="85" customFormat="false" ht="15" hidden="false" customHeight="false" outlineLevel="0" collapsed="false">
      <c r="A85" s="6" t="s">
        <v>73</v>
      </c>
      <c r="B85" s="6" t="s">
        <v>83</v>
      </c>
      <c r="C85" s="6" t="s">
        <v>117</v>
      </c>
      <c r="D85" s="6" t="n">
        <v>2</v>
      </c>
    </row>
    <row r="86" customFormat="false" ht="15" hidden="false" customHeight="false" outlineLevel="0" collapsed="false">
      <c r="A86" s="6" t="s">
        <v>73</v>
      </c>
      <c r="B86" s="6" t="s">
        <v>84</v>
      </c>
      <c r="C86" s="6" t="s">
        <v>112</v>
      </c>
      <c r="D86" s="6" t="n">
        <v>4</v>
      </c>
    </row>
    <row r="87" customFormat="false" ht="15" hidden="false" customHeight="false" outlineLevel="0" collapsed="false">
      <c r="A87" s="6" t="s">
        <v>73</v>
      </c>
      <c r="B87" s="6" t="s">
        <v>84</v>
      </c>
      <c r="C87" s="6" t="s">
        <v>113</v>
      </c>
      <c r="D87" s="6" t="n">
        <v>4</v>
      </c>
    </row>
    <row r="88" customFormat="false" ht="15" hidden="false" customHeight="false" outlineLevel="0" collapsed="false">
      <c r="A88" s="6" t="s">
        <v>73</v>
      </c>
      <c r="B88" s="6" t="s">
        <v>84</v>
      </c>
      <c r="C88" s="6" t="s">
        <v>114</v>
      </c>
      <c r="D88" s="6" t="n">
        <v>1</v>
      </c>
    </row>
    <row r="89" customFormat="false" ht="15" hidden="false" customHeight="false" outlineLevel="0" collapsed="false">
      <c r="A89" s="6" t="s">
        <v>73</v>
      </c>
      <c r="B89" s="6" t="s">
        <v>84</v>
      </c>
      <c r="C89" s="6" t="s">
        <v>115</v>
      </c>
      <c r="D89" s="6" t="n">
        <v>2</v>
      </c>
    </row>
    <row r="90" customFormat="false" ht="15" hidden="false" customHeight="false" outlineLevel="0" collapsed="false">
      <c r="A90" s="6" t="s">
        <v>73</v>
      </c>
      <c r="B90" s="6" t="s">
        <v>84</v>
      </c>
      <c r="C90" s="6" t="s">
        <v>116</v>
      </c>
      <c r="D90" s="6" t="n">
        <v>6</v>
      </c>
    </row>
    <row r="91" customFormat="false" ht="15" hidden="false" customHeight="false" outlineLevel="0" collapsed="false">
      <c r="A91" s="6" t="s">
        <v>73</v>
      </c>
      <c r="B91" s="6" t="s">
        <v>84</v>
      </c>
      <c r="C91" s="6" t="s">
        <v>117</v>
      </c>
      <c r="D91" s="6" t="n">
        <v>2</v>
      </c>
    </row>
    <row r="92" customFormat="false" ht="15" hidden="false" customHeight="false" outlineLevel="0" collapsed="false">
      <c r="A92" s="6" t="s">
        <v>73</v>
      </c>
      <c r="B92" s="6" t="s">
        <v>85</v>
      </c>
      <c r="C92" s="6" t="s">
        <v>112</v>
      </c>
      <c r="D92" s="6" t="n">
        <v>2</v>
      </c>
    </row>
    <row r="93" customFormat="false" ht="15" hidden="false" customHeight="false" outlineLevel="0" collapsed="false">
      <c r="A93" s="6" t="s">
        <v>73</v>
      </c>
      <c r="B93" s="6" t="s">
        <v>85</v>
      </c>
      <c r="C93" s="6" t="s">
        <v>113</v>
      </c>
      <c r="D93" s="6" t="n">
        <v>1</v>
      </c>
    </row>
    <row r="94" customFormat="false" ht="15" hidden="false" customHeight="false" outlineLevel="0" collapsed="false">
      <c r="A94" s="6" t="s">
        <v>73</v>
      </c>
      <c r="B94" s="6" t="s">
        <v>85</v>
      </c>
      <c r="C94" s="6" t="s">
        <v>114</v>
      </c>
      <c r="D94" s="6" t="n">
        <v>0</v>
      </c>
    </row>
    <row r="95" customFormat="false" ht="15" hidden="false" customHeight="false" outlineLevel="0" collapsed="false">
      <c r="A95" s="6" t="s">
        <v>73</v>
      </c>
      <c r="B95" s="6" t="s">
        <v>85</v>
      </c>
      <c r="C95" s="6" t="s">
        <v>115</v>
      </c>
      <c r="D95" s="6" t="n">
        <v>4</v>
      </c>
    </row>
    <row r="96" customFormat="false" ht="15" hidden="false" customHeight="false" outlineLevel="0" collapsed="false">
      <c r="A96" s="6" t="s">
        <v>73</v>
      </c>
      <c r="B96" s="6" t="s">
        <v>85</v>
      </c>
      <c r="C96" s="6" t="s">
        <v>116</v>
      </c>
      <c r="D96" s="6" t="n">
        <v>3</v>
      </c>
    </row>
    <row r="97" customFormat="false" ht="15" hidden="false" customHeight="false" outlineLevel="0" collapsed="false">
      <c r="A97" s="6" t="s">
        <v>73</v>
      </c>
      <c r="B97" s="6" t="s">
        <v>85</v>
      </c>
      <c r="C97" s="6" t="s">
        <v>117</v>
      </c>
      <c r="D97" s="6" t="n">
        <v>1</v>
      </c>
    </row>
    <row r="98" customFormat="false" ht="15" hidden="false" customHeight="false" outlineLevel="0" collapsed="false">
      <c r="A98" s="6" t="s">
        <v>73</v>
      </c>
      <c r="B98" s="6" t="s">
        <v>86</v>
      </c>
      <c r="C98" s="6" t="s">
        <v>112</v>
      </c>
      <c r="D98" s="6" t="n">
        <v>1</v>
      </c>
    </row>
    <row r="99" customFormat="false" ht="15" hidden="false" customHeight="false" outlineLevel="0" collapsed="false">
      <c r="A99" s="6" t="s">
        <v>73</v>
      </c>
      <c r="B99" s="6" t="s">
        <v>86</v>
      </c>
      <c r="C99" s="6" t="s">
        <v>113</v>
      </c>
      <c r="D99" s="6" t="n">
        <v>0</v>
      </c>
    </row>
    <row r="100" customFormat="false" ht="15" hidden="false" customHeight="false" outlineLevel="0" collapsed="false">
      <c r="A100" s="6" t="s">
        <v>73</v>
      </c>
      <c r="B100" s="6" t="s">
        <v>86</v>
      </c>
      <c r="C100" s="6" t="s">
        <v>114</v>
      </c>
      <c r="D100" s="6" t="n">
        <v>2</v>
      </c>
    </row>
    <row r="101" customFormat="false" ht="15" hidden="false" customHeight="false" outlineLevel="0" collapsed="false">
      <c r="A101" s="6" t="s">
        <v>73</v>
      </c>
      <c r="B101" s="6" t="s">
        <v>86</v>
      </c>
      <c r="C101" s="6" t="s">
        <v>115</v>
      </c>
      <c r="D101" s="6" t="n">
        <v>2</v>
      </c>
    </row>
    <row r="102" customFormat="false" ht="15" hidden="false" customHeight="false" outlineLevel="0" collapsed="false">
      <c r="A102" s="6" t="s">
        <v>73</v>
      </c>
      <c r="B102" s="6" t="s">
        <v>86</v>
      </c>
      <c r="C102" s="6" t="s">
        <v>116</v>
      </c>
      <c r="D102" s="6" t="n">
        <v>1</v>
      </c>
    </row>
    <row r="103" customFormat="false" ht="15" hidden="false" customHeight="false" outlineLevel="0" collapsed="false">
      <c r="A103" s="6" t="s">
        <v>73</v>
      </c>
      <c r="B103" s="6" t="s">
        <v>86</v>
      </c>
      <c r="C103" s="6" t="s">
        <v>117</v>
      </c>
      <c r="D103" s="6" t="n">
        <v>4</v>
      </c>
    </row>
    <row r="104" customFormat="false" ht="15" hidden="false" customHeight="false" outlineLevel="0" collapsed="false">
      <c r="A104" s="6" t="s">
        <v>73</v>
      </c>
      <c r="B104" s="6" t="s">
        <v>87</v>
      </c>
      <c r="C104" s="6" t="s">
        <v>112</v>
      </c>
      <c r="D104" s="6" t="n">
        <v>1</v>
      </c>
    </row>
    <row r="105" customFormat="false" ht="15" hidden="false" customHeight="false" outlineLevel="0" collapsed="false">
      <c r="A105" s="6" t="s">
        <v>73</v>
      </c>
      <c r="B105" s="6" t="s">
        <v>87</v>
      </c>
      <c r="C105" s="6" t="s">
        <v>113</v>
      </c>
      <c r="D105" s="6" t="n">
        <v>0</v>
      </c>
    </row>
    <row r="106" customFormat="false" ht="15" hidden="false" customHeight="false" outlineLevel="0" collapsed="false">
      <c r="A106" s="6" t="s">
        <v>73</v>
      </c>
      <c r="B106" s="6" t="s">
        <v>87</v>
      </c>
      <c r="C106" s="6" t="s">
        <v>114</v>
      </c>
      <c r="D106" s="6" t="n">
        <v>0</v>
      </c>
    </row>
    <row r="107" customFormat="false" ht="15" hidden="false" customHeight="false" outlineLevel="0" collapsed="false">
      <c r="A107" s="6" t="s">
        <v>73</v>
      </c>
      <c r="B107" s="6" t="s">
        <v>87</v>
      </c>
      <c r="C107" s="6" t="s">
        <v>115</v>
      </c>
      <c r="D107" s="6" t="n">
        <v>3</v>
      </c>
    </row>
    <row r="108" customFormat="false" ht="15" hidden="false" customHeight="false" outlineLevel="0" collapsed="false">
      <c r="A108" s="6" t="s">
        <v>73</v>
      </c>
      <c r="B108" s="6" t="s">
        <v>87</v>
      </c>
      <c r="C108" s="6" t="s">
        <v>116</v>
      </c>
      <c r="D108" s="6" t="n">
        <v>1</v>
      </c>
    </row>
    <row r="109" customFormat="false" ht="15" hidden="false" customHeight="false" outlineLevel="0" collapsed="false">
      <c r="A109" s="6" t="s">
        <v>73</v>
      </c>
      <c r="B109" s="6" t="s">
        <v>87</v>
      </c>
      <c r="C109" s="6" t="s">
        <v>117</v>
      </c>
      <c r="D109" s="6" t="n">
        <v>2</v>
      </c>
    </row>
    <row r="110" customFormat="false" ht="15" hidden="false" customHeight="false" outlineLevel="0" collapsed="false">
      <c r="A110" s="6" t="s">
        <v>77</v>
      </c>
      <c r="B110" s="6" t="s">
        <v>82</v>
      </c>
      <c r="C110" s="6" t="s">
        <v>112</v>
      </c>
      <c r="D110" s="6" t="n">
        <v>1</v>
      </c>
    </row>
    <row r="111" customFormat="false" ht="15" hidden="false" customHeight="false" outlineLevel="0" collapsed="false">
      <c r="A111" s="6" t="s">
        <v>77</v>
      </c>
      <c r="B111" s="6" t="s">
        <v>82</v>
      </c>
      <c r="C111" s="6" t="s">
        <v>113</v>
      </c>
      <c r="D111" s="6" t="n">
        <v>0</v>
      </c>
    </row>
    <row r="112" customFormat="false" ht="15" hidden="false" customHeight="false" outlineLevel="0" collapsed="false">
      <c r="A112" s="6" t="s">
        <v>77</v>
      </c>
      <c r="B112" s="6" t="s">
        <v>82</v>
      </c>
      <c r="C112" s="6" t="s">
        <v>114</v>
      </c>
      <c r="D112" s="6" t="n">
        <v>0</v>
      </c>
    </row>
    <row r="113" customFormat="false" ht="15" hidden="false" customHeight="false" outlineLevel="0" collapsed="false">
      <c r="A113" s="6" t="s">
        <v>77</v>
      </c>
      <c r="B113" s="6" t="s">
        <v>82</v>
      </c>
      <c r="C113" s="6" t="s">
        <v>115</v>
      </c>
      <c r="D113" s="6" t="n">
        <v>5</v>
      </c>
    </row>
    <row r="114" customFormat="false" ht="15" hidden="false" customHeight="false" outlineLevel="0" collapsed="false">
      <c r="A114" s="6" t="s">
        <v>77</v>
      </c>
      <c r="B114" s="6" t="s">
        <v>82</v>
      </c>
      <c r="C114" s="6" t="s">
        <v>116</v>
      </c>
      <c r="D114" s="6" t="n">
        <v>1</v>
      </c>
    </row>
    <row r="115" customFormat="false" ht="15" hidden="false" customHeight="false" outlineLevel="0" collapsed="false">
      <c r="A115" s="6" t="s">
        <v>77</v>
      </c>
      <c r="B115" s="6" t="s">
        <v>82</v>
      </c>
      <c r="C115" s="6" t="s">
        <v>117</v>
      </c>
      <c r="D115" s="6" t="n">
        <v>3</v>
      </c>
    </row>
    <row r="116" customFormat="false" ht="15" hidden="false" customHeight="false" outlineLevel="0" collapsed="false">
      <c r="A116" s="6" t="s">
        <v>77</v>
      </c>
      <c r="B116" s="6" t="s">
        <v>83</v>
      </c>
      <c r="C116" s="6" t="s">
        <v>112</v>
      </c>
      <c r="D116" s="6" t="n">
        <v>5</v>
      </c>
    </row>
    <row r="117" customFormat="false" ht="15" hidden="false" customHeight="false" outlineLevel="0" collapsed="false">
      <c r="A117" s="6" t="s">
        <v>77</v>
      </c>
      <c r="B117" s="6" t="s">
        <v>83</v>
      </c>
      <c r="C117" s="6" t="s">
        <v>113</v>
      </c>
      <c r="D117" s="6" t="n">
        <v>3</v>
      </c>
    </row>
    <row r="118" customFormat="false" ht="15" hidden="false" customHeight="false" outlineLevel="0" collapsed="false">
      <c r="A118" s="6" t="s">
        <v>77</v>
      </c>
      <c r="B118" s="6" t="s">
        <v>83</v>
      </c>
      <c r="C118" s="6" t="s">
        <v>114</v>
      </c>
      <c r="D118" s="6" t="n">
        <v>1</v>
      </c>
    </row>
    <row r="119" customFormat="false" ht="15" hidden="false" customHeight="false" outlineLevel="0" collapsed="false">
      <c r="A119" s="6" t="s">
        <v>77</v>
      </c>
      <c r="B119" s="6" t="s">
        <v>83</v>
      </c>
      <c r="C119" s="6" t="s">
        <v>115</v>
      </c>
      <c r="D119" s="6" t="n">
        <v>3</v>
      </c>
    </row>
    <row r="120" customFormat="false" ht="15" hidden="false" customHeight="false" outlineLevel="0" collapsed="false">
      <c r="A120" s="6" t="s">
        <v>77</v>
      </c>
      <c r="B120" s="6" t="s">
        <v>83</v>
      </c>
      <c r="C120" s="6" t="s">
        <v>116</v>
      </c>
      <c r="D120" s="6" t="n">
        <v>4</v>
      </c>
    </row>
    <row r="121" customFormat="false" ht="15" hidden="false" customHeight="false" outlineLevel="0" collapsed="false">
      <c r="A121" s="6" t="s">
        <v>77</v>
      </c>
      <c r="B121" s="6" t="s">
        <v>83</v>
      </c>
      <c r="C121" s="6" t="s">
        <v>117</v>
      </c>
      <c r="D121" s="6" t="n">
        <v>3</v>
      </c>
    </row>
    <row r="122" customFormat="false" ht="15" hidden="false" customHeight="false" outlineLevel="0" collapsed="false">
      <c r="A122" s="6" t="s">
        <v>77</v>
      </c>
      <c r="B122" s="6" t="s">
        <v>84</v>
      </c>
      <c r="C122" s="6" t="s">
        <v>112</v>
      </c>
      <c r="D122" s="6" t="n">
        <v>6</v>
      </c>
    </row>
    <row r="123" customFormat="false" ht="15" hidden="false" customHeight="false" outlineLevel="0" collapsed="false">
      <c r="A123" s="6" t="s">
        <v>77</v>
      </c>
      <c r="B123" s="6" t="s">
        <v>84</v>
      </c>
      <c r="C123" s="6" t="s">
        <v>113</v>
      </c>
      <c r="D123" s="6" t="n">
        <v>6</v>
      </c>
    </row>
    <row r="124" customFormat="false" ht="15" hidden="false" customHeight="false" outlineLevel="0" collapsed="false">
      <c r="A124" s="6" t="s">
        <v>77</v>
      </c>
      <c r="B124" s="6" t="s">
        <v>84</v>
      </c>
      <c r="C124" s="6" t="s">
        <v>114</v>
      </c>
      <c r="D124" s="6" t="n">
        <v>1</v>
      </c>
    </row>
    <row r="125" customFormat="false" ht="15" hidden="false" customHeight="false" outlineLevel="0" collapsed="false">
      <c r="A125" s="6" t="s">
        <v>77</v>
      </c>
      <c r="B125" s="6" t="s">
        <v>84</v>
      </c>
      <c r="C125" s="6" t="s">
        <v>115</v>
      </c>
      <c r="D125" s="6" t="n">
        <v>3</v>
      </c>
    </row>
    <row r="126" customFormat="false" ht="15" hidden="false" customHeight="false" outlineLevel="0" collapsed="false">
      <c r="A126" s="6" t="s">
        <v>77</v>
      </c>
      <c r="B126" s="6" t="s">
        <v>84</v>
      </c>
      <c r="C126" s="6" t="s">
        <v>116</v>
      </c>
      <c r="D126" s="6" t="n">
        <v>7</v>
      </c>
    </row>
    <row r="127" customFormat="false" ht="15" hidden="false" customHeight="false" outlineLevel="0" collapsed="false">
      <c r="A127" s="6" t="s">
        <v>77</v>
      </c>
      <c r="B127" s="6" t="s">
        <v>84</v>
      </c>
      <c r="C127" s="6" t="s">
        <v>117</v>
      </c>
      <c r="D127" s="6" t="n">
        <v>1</v>
      </c>
    </row>
    <row r="128" customFormat="false" ht="15" hidden="false" customHeight="false" outlineLevel="0" collapsed="false">
      <c r="A128" s="6" t="s">
        <v>77</v>
      </c>
      <c r="B128" s="6" t="s">
        <v>85</v>
      </c>
      <c r="C128" s="6" t="s">
        <v>112</v>
      </c>
      <c r="D128" s="6" t="n">
        <v>3</v>
      </c>
    </row>
    <row r="129" customFormat="false" ht="15" hidden="false" customHeight="false" outlineLevel="0" collapsed="false">
      <c r="A129" s="6" t="s">
        <v>77</v>
      </c>
      <c r="B129" s="6" t="s">
        <v>85</v>
      </c>
      <c r="C129" s="6" t="s">
        <v>113</v>
      </c>
      <c r="D129" s="6" t="n">
        <v>1</v>
      </c>
    </row>
    <row r="130" customFormat="false" ht="15" hidden="false" customHeight="false" outlineLevel="0" collapsed="false">
      <c r="A130" s="6" t="s">
        <v>77</v>
      </c>
      <c r="B130" s="6" t="s">
        <v>85</v>
      </c>
      <c r="C130" s="6" t="s">
        <v>114</v>
      </c>
      <c r="D130" s="6" t="n">
        <v>0</v>
      </c>
    </row>
    <row r="131" customFormat="false" ht="15" hidden="false" customHeight="false" outlineLevel="0" collapsed="false">
      <c r="A131" s="6" t="s">
        <v>77</v>
      </c>
      <c r="B131" s="6" t="s">
        <v>85</v>
      </c>
      <c r="C131" s="6" t="s">
        <v>115</v>
      </c>
      <c r="D131" s="6" t="n">
        <v>5</v>
      </c>
    </row>
    <row r="132" customFormat="false" ht="15" hidden="false" customHeight="false" outlineLevel="0" collapsed="false">
      <c r="A132" s="6" t="s">
        <v>77</v>
      </c>
      <c r="B132" s="6" t="s">
        <v>85</v>
      </c>
      <c r="C132" s="6" t="s">
        <v>116</v>
      </c>
      <c r="D132" s="6" t="n">
        <v>6</v>
      </c>
    </row>
    <row r="133" customFormat="false" ht="15" hidden="false" customHeight="false" outlineLevel="0" collapsed="false">
      <c r="A133" s="6" t="s">
        <v>77</v>
      </c>
      <c r="B133" s="6" t="s">
        <v>85</v>
      </c>
      <c r="C133" s="6" t="s">
        <v>117</v>
      </c>
      <c r="D133" s="6" t="n">
        <v>2</v>
      </c>
    </row>
    <row r="134" customFormat="false" ht="15" hidden="false" customHeight="false" outlineLevel="0" collapsed="false">
      <c r="A134" s="6" t="s">
        <v>77</v>
      </c>
      <c r="B134" s="6" t="s">
        <v>86</v>
      </c>
      <c r="C134" s="6" t="s">
        <v>112</v>
      </c>
      <c r="D134" s="6" t="n">
        <v>1</v>
      </c>
    </row>
    <row r="135" customFormat="false" ht="15" hidden="false" customHeight="false" outlineLevel="0" collapsed="false">
      <c r="A135" s="6" t="s">
        <v>77</v>
      </c>
      <c r="B135" s="6" t="s">
        <v>86</v>
      </c>
      <c r="C135" s="6" t="s">
        <v>113</v>
      </c>
      <c r="D135" s="6" t="n">
        <v>0</v>
      </c>
    </row>
    <row r="136" customFormat="false" ht="15" hidden="false" customHeight="false" outlineLevel="0" collapsed="false">
      <c r="A136" s="6" t="s">
        <v>77</v>
      </c>
      <c r="B136" s="6" t="s">
        <v>86</v>
      </c>
      <c r="C136" s="6" t="s">
        <v>114</v>
      </c>
      <c r="D136" s="6" t="n">
        <v>4</v>
      </c>
    </row>
    <row r="137" customFormat="false" ht="15" hidden="false" customHeight="false" outlineLevel="0" collapsed="false">
      <c r="A137" s="6" t="s">
        <v>77</v>
      </c>
      <c r="B137" s="6" t="s">
        <v>86</v>
      </c>
      <c r="C137" s="6" t="s">
        <v>115</v>
      </c>
      <c r="D137" s="6" t="n">
        <v>3</v>
      </c>
    </row>
    <row r="138" customFormat="false" ht="15" hidden="false" customHeight="false" outlineLevel="0" collapsed="false">
      <c r="A138" s="6" t="s">
        <v>77</v>
      </c>
      <c r="B138" s="6" t="s">
        <v>86</v>
      </c>
      <c r="C138" s="6" t="s">
        <v>116</v>
      </c>
      <c r="D138" s="6" t="n">
        <v>1</v>
      </c>
    </row>
    <row r="139" customFormat="false" ht="15" hidden="false" customHeight="false" outlineLevel="0" collapsed="false">
      <c r="A139" s="6" t="s">
        <v>77</v>
      </c>
      <c r="B139" s="6" t="s">
        <v>86</v>
      </c>
      <c r="C139" s="6" t="s">
        <v>117</v>
      </c>
      <c r="D139" s="6" t="n">
        <v>4</v>
      </c>
    </row>
    <row r="140" customFormat="false" ht="15" hidden="false" customHeight="false" outlineLevel="0" collapsed="false">
      <c r="A140" s="6" t="s">
        <v>77</v>
      </c>
      <c r="B140" s="6" t="s">
        <v>87</v>
      </c>
      <c r="C140" s="6" t="s">
        <v>112</v>
      </c>
      <c r="D140" s="6" t="n">
        <v>1</v>
      </c>
    </row>
    <row r="141" customFormat="false" ht="15" hidden="false" customHeight="false" outlineLevel="0" collapsed="false">
      <c r="A141" s="6" t="s">
        <v>77</v>
      </c>
      <c r="B141" s="6" t="s">
        <v>87</v>
      </c>
      <c r="C141" s="6" t="s">
        <v>113</v>
      </c>
      <c r="D141" s="6" t="n">
        <v>0</v>
      </c>
    </row>
    <row r="142" customFormat="false" ht="15" hidden="false" customHeight="false" outlineLevel="0" collapsed="false">
      <c r="A142" s="6" t="s">
        <v>77</v>
      </c>
      <c r="B142" s="6" t="s">
        <v>87</v>
      </c>
      <c r="C142" s="6" t="s">
        <v>114</v>
      </c>
      <c r="D142" s="6" t="n">
        <v>0</v>
      </c>
    </row>
    <row r="143" customFormat="false" ht="15" hidden="false" customHeight="false" outlineLevel="0" collapsed="false">
      <c r="A143" s="6" t="s">
        <v>77</v>
      </c>
      <c r="B143" s="6" t="s">
        <v>87</v>
      </c>
      <c r="C143" s="6" t="s">
        <v>115</v>
      </c>
      <c r="D143" s="6" t="n">
        <v>4</v>
      </c>
    </row>
    <row r="144" customFormat="false" ht="15" hidden="false" customHeight="false" outlineLevel="0" collapsed="false">
      <c r="A144" s="6" t="s">
        <v>77</v>
      </c>
      <c r="B144" s="6" t="s">
        <v>87</v>
      </c>
      <c r="C144" s="6" t="s">
        <v>116</v>
      </c>
      <c r="D144" s="6" t="n">
        <v>1</v>
      </c>
    </row>
    <row r="145" customFormat="false" ht="15" hidden="false" customHeight="false" outlineLevel="0" collapsed="false">
      <c r="A145" s="6" t="s">
        <v>77</v>
      </c>
      <c r="B145" s="6" t="s">
        <v>87</v>
      </c>
      <c r="C145" s="6" t="s">
        <v>117</v>
      </c>
      <c r="D145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5"/>
    <col collapsed="false" customWidth="true" hidden="false" outlineLevel="0" max="7" min="7" style="0" width="15"/>
    <col collapsed="false" customWidth="true" hidden="false" outlineLevel="0" max="9" min="8" style="0" width="22"/>
  </cols>
  <sheetData>
    <row r="1" customFormat="false" ht="15" hidden="false" customHeight="false" outlineLevel="0" collapsed="false">
      <c r="A1" s="3" t="s">
        <v>118</v>
      </c>
      <c r="B1" s="3" t="s">
        <v>119</v>
      </c>
      <c r="C1" s="3" t="s">
        <v>56</v>
      </c>
      <c r="D1" s="3" t="s">
        <v>81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</row>
    <row r="2" customFormat="false" ht="15" hidden="false" customHeight="false" outlineLevel="0" collapsed="false">
      <c r="A2" s="6" t="s">
        <v>125</v>
      </c>
      <c r="B2" s="6" t="s">
        <v>126</v>
      </c>
      <c r="C2" s="6" t="s">
        <v>64</v>
      </c>
      <c r="D2" s="6" t="s">
        <v>82</v>
      </c>
      <c r="E2" s="6" t="s">
        <v>127</v>
      </c>
      <c r="F2" s="9" t="n">
        <v>46119</v>
      </c>
      <c r="G2" s="9" t="n">
        <v>46484</v>
      </c>
      <c r="H2" s="8" t="n">
        <f aca="false">G2-'LEIA-ME'!$B$4</f>
        <v>173</v>
      </c>
      <c r="I2" s="6" t="str">
        <f aca="false">IF(H2&lt;0,"Vencido",IF(H2&lt;=30,"Vence em até 30 dias",IF(H2&lt;=60,"Vence em até 60 dias","Válido")))</f>
        <v>Válido</v>
      </c>
    </row>
    <row r="3" customFormat="false" ht="15" hidden="false" customHeight="false" outlineLevel="0" collapsed="false">
      <c r="A3" s="6" t="s">
        <v>128</v>
      </c>
      <c r="B3" s="6" t="s">
        <v>129</v>
      </c>
      <c r="C3" s="6" t="s">
        <v>64</v>
      </c>
      <c r="D3" s="6" t="s">
        <v>82</v>
      </c>
      <c r="E3" s="6" t="s">
        <v>130</v>
      </c>
      <c r="F3" s="9" t="n">
        <v>46275</v>
      </c>
      <c r="G3" s="9" t="n">
        <v>46640</v>
      </c>
      <c r="H3" s="8" t="n">
        <f aca="false">G3-'LEIA-ME'!$B$4</f>
        <v>329</v>
      </c>
      <c r="I3" s="6" t="str">
        <f aca="false">IF(H3&lt;0,"Vencido",IF(H3&lt;=30,"Vence em até 30 dias",IF(H3&lt;=60,"Vence em até 60 dias","Válido")))</f>
        <v>Válido</v>
      </c>
    </row>
    <row r="4" customFormat="false" ht="15" hidden="false" customHeight="false" outlineLevel="0" collapsed="false">
      <c r="A4" s="6" t="s">
        <v>131</v>
      </c>
      <c r="B4" s="6" t="s">
        <v>132</v>
      </c>
      <c r="C4" s="6" t="s">
        <v>64</v>
      </c>
      <c r="D4" s="6" t="s">
        <v>83</v>
      </c>
      <c r="E4" s="6" t="s">
        <v>82</v>
      </c>
      <c r="F4" s="9" t="n">
        <v>46170</v>
      </c>
      <c r="G4" s="9" t="n">
        <v>46535</v>
      </c>
      <c r="H4" s="8" t="n">
        <f aca="false">G4-'LEIA-ME'!$B$4</f>
        <v>224</v>
      </c>
      <c r="I4" s="6" t="str">
        <f aca="false">IF(H4&lt;0,"Vencido",IF(H4&lt;=30,"Vence em até 30 dias",IF(H4&lt;=60,"Vence em até 60 dias","Válido")))</f>
        <v>Válido</v>
      </c>
    </row>
    <row r="5" customFormat="false" ht="15" hidden="false" customHeight="false" outlineLevel="0" collapsed="false">
      <c r="A5" s="6" t="s">
        <v>133</v>
      </c>
      <c r="B5" s="6" t="s">
        <v>134</v>
      </c>
      <c r="C5" s="6" t="s">
        <v>64</v>
      </c>
      <c r="D5" s="6" t="s">
        <v>83</v>
      </c>
      <c r="E5" s="6" t="s">
        <v>82</v>
      </c>
      <c r="F5" s="9" t="n">
        <v>45984</v>
      </c>
      <c r="G5" s="9" t="n">
        <v>46349</v>
      </c>
      <c r="H5" s="8" t="n">
        <f aca="false">G5-'LEIA-ME'!$B$4</f>
        <v>38</v>
      </c>
      <c r="I5" s="6" t="str">
        <f aca="false">IF(H5&lt;0,"Vencido",IF(H5&lt;=30,"Vence em até 30 dias",IF(H5&lt;=60,"Vence em até 60 dias","Válido")))</f>
        <v>Vence em até 60 dias</v>
      </c>
    </row>
    <row r="6" customFormat="false" ht="15" hidden="false" customHeight="false" outlineLevel="0" collapsed="false">
      <c r="A6" s="6" t="s">
        <v>135</v>
      </c>
      <c r="B6" s="6" t="s">
        <v>136</v>
      </c>
      <c r="C6" s="6" t="s">
        <v>64</v>
      </c>
      <c r="D6" s="6" t="s">
        <v>84</v>
      </c>
      <c r="E6" s="6" t="s">
        <v>127</v>
      </c>
      <c r="F6" s="9" t="n">
        <v>46271</v>
      </c>
      <c r="G6" s="9" t="n">
        <v>46636</v>
      </c>
      <c r="H6" s="8" t="n">
        <f aca="false">G6-'LEIA-ME'!$B$4</f>
        <v>325</v>
      </c>
      <c r="I6" s="6" t="str">
        <f aca="false">IF(H6&lt;0,"Vencido",IF(H6&lt;=30,"Vence em até 30 dias",IF(H6&lt;=60,"Vence em até 60 dias","Válido")))</f>
        <v>Válido</v>
      </c>
    </row>
    <row r="7" customFormat="false" ht="15" hidden="false" customHeight="false" outlineLevel="0" collapsed="false">
      <c r="A7" s="6" t="s">
        <v>137</v>
      </c>
      <c r="B7" s="6" t="s">
        <v>138</v>
      </c>
      <c r="C7" s="6" t="s">
        <v>64</v>
      </c>
      <c r="D7" s="6" t="s">
        <v>87</v>
      </c>
      <c r="E7" s="6" t="s">
        <v>127</v>
      </c>
      <c r="F7" s="9" t="n">
        <v>46186</v>
      </c>
      <c r="G7" s="9" t="n">
        <v>46551</v>
      </c>
      <c r="H7" s="8" t="n">
        <f aca="false">G7-'LEIA-ME'!$B$4</f>
        <v>240</v>
      </c>
      <c r="I7" s="6" t="str">
        <f aca="false">IF(H7&lt;0,"Vencido",IF(H7&lt;=30,"Vence em até 30 dias",IF(H7&lt;=60,"Vence em até 60 dias","Válido")))</f>
        <v>Válido</v>
      </c>
    </row>
    <row r="8" customFormat="false" ht="15" hidden="false" customHeight="false" outlineLevel="0" collapsed="false">
      <c r="A8" s="6" t="s">
        <v>139</v>
      </c>
      <c r="B8" s="6" t="s">
        <v>140</v>
      </c>
      <c r="C8" s="6" t="s">
        <v>64</v>
      </c>
      <c r="D8" s="6" t="s">
        <v>86</v>
      </c>
      <c r="E8" s="6" t="s">
        <v>130</v>
      </c>
      <c r="F8" s="9" t="n">
        <v>46044</v>
      </c>
      <c r="G8" s="9" t="n">
        <v>46409</v>
      </c>
      <c r="H8" s="8" t="n">
        <f aca="false">G8-'LEIA-ME'!$B$4</f>
        <v>98</v>
      </c>
      <c r="I8" s="6" t="str">
        <f aca="false">IF(H8&lt;0,"Vencido",IF(H8&lt;=30,"Vence em até 30 dias",IF(H8&lt;=60,"Vence em até 60 dias","Válido")))</f>
        <v>Válido</v>
      </c>
    </row>
    <row r="9" customFormat="false" ht="15" hidden="false" customHeight="false" outlineLevel="0" collapsed="false">
      <c r="A9" s="6" t="s">
        <v>141</v>
      </c>
      <c r="B9" s="6" t="s">
        <v>142</v>
      </c>
      <c r="C9" s="6" t="s">
        <v>64</v>
      </c>
      <c r="D9" s="6" t="s">
        <v>84</v>
      </c>
      <c r="E9" s="6" t="s">
        <v>127</v>
      </c>
      <c r="F9" s="9" t="n">
        <v>45950</v>
      </c>
      <c r="G9" s="9" t="n">
        <v>46315</v>
      </c>
      <c r="H9" s="8" t="n">
        <f aca="false">G9-'LEIA-ME'!$B$4</f>
        <v>4</v>
      </c>
      <c r="I9" s="6" t="str">
        <f aca="false">IF(H9&lt;0,"Vencido",IF(H9&lt;=30,"Vence em até 30 dias",IF(H9&lt;=60,"Vence em até 60 dias","Válido")))</f>
        <v>Vence em até 30 dias</v>
      </c>
    </row>
    <row r="10" customFormat="false" ht="15" hidden="false" customHeight="false" outlineLevel="0" collapsed="false">
      <c r="A10" s="6" t="s">
        <v>143</v>
      </c>
      <c r="B10" s="6" t="s">
        <v>144</v>
      </c>
      <c r="C10" s="6" t="s">
        <v>64</v>
      </c>
      <c r="D10" s="6" t="s">
        <v>83</v>
      </c>
      <c r="E10" s="6" t="s">
        <v>130</v>
      </c>
      <c r="F10" s="9" t="n">
        <v>46108</v>
      </c>
      <c r="G10" s="9" t="n">
        <v>46473</v>
      </c>
      <c r="H10" s="8" t="n">
        <f aca="false">G10-'LEIA-ME'!$B$4</f>
        <v>162</v>
      </c>
      <c r="I10" s="6" t="str">
        <f aca="false">IF(H10&lt;0,"Vencido",IF(H10&lt;=30,"Vence em até 30 dias",IF(H10&lt;=60,"Vence em até 60 dias","Válido")))</f>
        <v>Válido</v>
      </c>
    </row>
    <row r="11" customFormat="false" ht="15" hidden="false" customHeight="false" outlineLevel="0" collapsed="false">
      <c r="A11" s="6" t="s">
        <v>145</v>
      </c>
      <c r="B11" s="6" t="s">
        <v>146</v>
      </c>
      <c r="C11" s="6" t="s">
        <v>64</v>
      </c>
      <c r="D11" s="6" t="s">
        <v>87</v>
      </c>
      <c r="E11" s="6" t="s">
        <v>130</v>
      </c>
      <c r="F11" s="9" t="n">
        <v>46180</v>
      </c>
      <c r="G11" s="9" t="n">
        <v>46545</v>
      </c>
      <c r="H11" s="8" t="n">
        <f aca="false">G11-'LEIA-ME'!$B$4</f>
        <v>234</v>
      </c>
      <c r="I11" s="6" t="str">
        <f aca="false">IF(H11&lt;0,"Vencido",IF(H11&lt;=30,"Vence em até 30 dias",IF(H11&lt;=60,"Vence em até 60 dias","Válido")))</f>
        <v>Válido</v>
      </c>
    </row>
    <row r="12" customFormat="false" ht="15" hidden="false" customHeight="false" outlineLevel="0" collapsed="false">
      <c r="A12" s="6" t="s">
        <v>147</v>
      </c>
      <c r="B12" s="6" t="s">
        <v>148</v>
      </c>
      <c r="C12" s="6" t="s">
        <v>64</v>
      </c>
      <c r="D12" s="6" t="s">
        <v>86</v>
      </c>
      <c r="E12" s="6" t="s">
        <v>82</v>
      </c>
      <c r="F12" s="9" t="n">
        <v>46076</v>
      </c>
      <c r="G12" s="9" t="n">
        <v>46441</v>
      </c>
      <c r="H12" s="8" t="n">
        <f aca="false">G12-'LEIA-ME'!$B$4</f>
        <v>130</v>
      </c>
      <c r="I12" s="6" t="str">
        <f aca="false">IF(H12&lt;0,"Vencido",IF(H12&lt;=30,"Vence em até 30 dias",IF(H12&lt;=60,"Vence em até 60 dias","Válido")))</f>
        <v>Válido</v>
      </c>
    </row>
    <row r="13" customFormat="false" ht="15" hidden="false" customHeight="false" outlineLevel="0" collapsed="false">
      <c r="A13" s="6" t="s">
        <v>149</v>
      </c>
      <c r="B13" s="6" t="s">
        <v>150</v>
      </c>
      <c r="C13" s="6" t="s">
        <v>64</v>
      </c>
      <c r="D13" s="6" t="s">
        <v>86</v>
      </c>
      <c r="E13" s="6" t="s">
        <v>151</v>
      </c>
      <c r="F13" s="9" t="n">
        <v>46223</v>
      </c>
      <c r="G13" s="9" t="n">
        <v>46588</v>
      </c>
      <c r="H13" s="8" t="n">
        <f aca="false">G13-'LEIA-ME'!$B$4</f>
        <v>277</v>
      </c>
      <c r="I13" s="6" t="str">
        <f aca="false">IF(H13&lt;0,"Vencido",IF(H13&lt;=30,"Vence em até 30 dias",IF(H13&lt;=60,"Vence em até 60 dias","Válido")))</f>
        <v>Válido</v>
      </c>
    </row>
    <row r="14" customFormat="false" ht="15" hidden="false" customHeight="false" outlineLevel="0" collapsed="false">
      <c r="A14" s="6" t="s">
        <v>152</v>
      </c>
      <c r="B14" s="6" t="s">
        <v>153</v>
      </c>
      <c r="C14" s="6" t="s">
        <v>64</v>
      </c>
      <c r="D14" s="6" t="s">
        <v>86</v>
      </c>
      <c r="E14" s="6" t="s">
        <v>151</v>
      </c>
      <c r="F14" s="9" t="n">
        <v>46126</v>
      </c>
      <c r="G14" s="9" t="n">
        <v>46491</v>
      </c>
      <c r="H14" s="8" t="n">
        <f aca="false">G14-'LEIA-ME'!$B$4</f>
        <v>180</v>
      </c>
      <c r="I14" s="6" t="str">
        <f aca="false">IF(H14&lt;0,"Vencido",IF(H14&lt;=30,"Vence em até 30 dias",IF(H14&lt;=60,"Vence em até 60 dias","Válido")))</f>
        <v>Válido</v>
      </c>
    </row>
    <row r="15" customFormat="false" ht="15" hidden="false" customHeight="false" outlineLevel="0" collapsed="false">
      <c r="A15" s="6" t="s">
        <v>154</v>
      </c>
      <c r="B15" s="6" t="s">
        <v>155</v>
      </c>
      <c r="C15" s="6" t="s">
        <v>64</v>
      </c>
      <c r="D15" s="6" t="s">
        <v>84</v>
      </c>
      <c r="E15" s="6" t="s">
        <v>82</v>
      </c>
      <c r="F15" s="9" t="n">
        <v>46148</v>
      </c>
      <c r="G15" s="9" t="n">
        <v>46513</v>
      </c>
      <c r="H15" s="8" t="n">
        <f aca="false">G15-'LEIA-ME'!$B$4</f>
        <v>202</v>
      </c>
      <c r="I15" s="6" t="str">
        <f aca="false">IF(H15&lt;0,"Vencido",IF(H15&lt;=30,"Vence em até 30 dias",IF(H15&lt;=60,"Vence em até 60 dias","Válido")))</f>
        <v>Válido</v>
      </c>
    </row>
    <row r="16" customFormat="false" ht="15" hidden="false" customHeight="false" outlineLevel="0" collapsed="false">
      <c r="A16" s="6" t="s">
        <v>156</v>
      </c>
      <c r="B16" s="6" t="s">
        <v>157</v>
      </c>
      <c r="C16" s="6" t="s">
        <v>64</v>
      </c>
      <c r="D16" s="6" t="s">
        <v>86</v>
      </c>
      <c r="E16" s="6" t="s">
        <v>127</v>
      </c>
      <c r="F16" s="9" t="n">
        <v>46007</v>
      </c>
      <c r="G16" s="9" t="n">
        <v>46372</v>
      </c>
      <c r="H16" s="8" t="n">
        <f aca="false">G16-'LEIA-ME'!$B$4</f>
        <v>61</v>
      </c>
      <c r="I16" s="6" t="str">
        <f aca="false">IF(H16&lt;0,"Vencido",IF(H16&lt;=30,"Vence em até 30 dias",IF(H16&lt;=60,"Vence em até 60 dias","Válido")))</f>
        <v>Válido</v>
      </c>
    </row>
    <row r="17" customFormat="false" ht="15" hidden="false" customHeight="false" outlineLevel="0" collapsed="false">
      <c r="A17" s="6" t="s">
        <v>158</v>
      </c>
      <c r="B17" s="6" t="s">
        <v>159</v>
      </c>
      <c r="C17" s="6" t="s">
        <v>64</v>
      </c>
      <c r="D17" s="6" t="s">
        <v>82</v>
      </c>
      <c r="E17" s="6" t="s">
        <v>130</v>
      </c>
      <c r="F17" s="9" t="n">
        <v>45964</v>
      </c>
      <c r="G17" s="9" t="n">
        <v>46329</v>
      </c>
      <c r="H17" s="8" t="n">
        <f aca="false">G17-'LEIA-ME'!$B$4</f>
        <v>18</v>
      </c>
      <c r="I17" s="6" t="str">
        <f aca="false">IF(H17&lt;0,"Vencido",IF(H17&lt;=30,"Vence em até 30 dias",IF(H17&lt;=60,"Vence em até 60 dias","Válido")))</f>
        <v>Vence em até 30 dias</v>
      </c>
    </row>
    <row r="18" customFormat="false" ht="15" hidden="false" customHeight="false" outlineLevel="0" collapsed="false">
      <c r="A18" s="6" t="s">
        <v>160</v>
      </c>
      <c r="B18" s="6" t="s">
        <v>161</v>
      </c>
      <c r="C18" s="6" t="s">
        <v>64</v>
      </c>
      <c r="D18" s="6" t="s">
        <v>85</v>
      </c>
      <c r="E18" s="6" t="s">
        <v>130</v>
      </c>
      <c r="F18" s="9" t="n">
        <v>46269</v>
      </c>
      <c r="G18" s="9" t="n">
        <v>46634</v>
      </c>
      <c r="H18" s="8" t="n">
        <f aca="false">G18-'LEIA-ME'!$B$4</f>
        <v>323</v>
      </c>
      <c r="I18" s="6" t="str">
        <f aca="false">IF(H18&lt;0,"Vencido",IF(H18&lt;=30,"Vence em até 30 dias",IF(H18&lt;=60,"Vence em até 60 dias","Válido")))</f>
        <v>Válido</v>
      </c>
    </row>
    <row r="19" customFormat="false" ht="15" hidden="false" customHeight="false" outlineLevel="0" collapsed="false">
      <c r="A19" s="6" t="s">
        <v>162</v>
      </c>
      <c r="B19" s="6" t="s">
        <v>163</v>
      </c>
      <c r="C19" s="6" t="s">
        <v>64</v>
      </c>
      <c r="D19" s="6" t="s">
        <v>84</v>
      </c>
      <c r="E19" s="6" t="s">
        <v>130</v>
      </c>
      <c r="F19" s="9" t="n">
        <v>46185</v>
      </c>
      <c r="G19" s="9" t="n">
        <v>46550</v>
      </c>
      <c r="H19" s="8" t="n">
        <f aca="false">G19-'LEIA-ME'!$B$4</f>
        <v>239</v>
      </c>
      <c r="I19" s="6" t="str">
        <f aca="false">IF(H19&lt;0,"Vencido",IF(H19&lt;=30,"Vence em até 30 dias",IF(H19&lt;=60,"Vence em até 60 dias","Válido")))</f>
        <v>Válido</v>
      </c>
    </row>
    <row r="20" customFormat="false" ht="15" hidden="false" customHeight="false" outlineLevel="0" collapsed="false">
      <c r="A20" s="6" t="s">
        <v>164</v>
      </c>
      <c r="B20" s="6" t="s">
        <v>165</v>
      </c>
      <c r="C20" s="6" t="s">
        <v>64</v>
      </c>
      <c r="D20" s="6" t="s">
        <v>83</v>
      </c>
      <c r="E20" s="6" t="s">
        <v>82</v>
      </c>
      <c r="F20" s="9" t="n">
        <v>46134</v>
      </c>
      <c r="G20" s="9" t="n">
        <v>46499</v>
      </c>
      <c r="H20" s="8" t="n">
        <f aca="false">G20-'LEIA-ME'!$B$4</f>
        <v>188</v>
      </c>
      <c r="I20" s="6" t="str">
        <f aca="false">IF(H20&lt;0,"Vencido",IF(H20&lt;=30,"Vence em até 30 dias",IF(H20&lt;=60,"Vence em até 60 dias","Válido")))</f>
        <v>Válido</v>
      </c>
    </row>
    <row r="21" customFormat="false" ht="15" hidden="false" customHeight="false" outlineLevel="0" collapsed="false">
      <c r="A21" s="6" t="s">
        <v>166</v>
      </c>
      <c r="B21" s="6" t="s">
        <v>167</v>
      </c>
      <c r="C21" s="6" t="s">
        <v>64</v>
      </c>
      <c r="D21" s="6" t="s">
        <v>85</v>
      </c>
      <c r="E21" s="6" t="s">
        <v>82</v>
      </c>
      <c r="F21" s="9" t="n">
        <v>45896</v>
      </c>
      <c r="G21" s="9" t="n">
        <v>46261</v>
      </c>
      <c r="H21" s="8" t="n">
        <f aca="false">G21-'LEIA-ME'!$B$4</f>
        <v>-50</v>
      </c>
      <c r="I21" s="6" t="str">
        <f aca="false">IF(H21&lt;0,"Vencido",IF(H21&lt;=30,"Vence em até 30 dias",IF(H21&lt;=60,"Vence em até 60 dias","Válido")))</f>
        <v>Vencido</v>
      </c>
    </row>
    <row r="22" customFormat="false" ht="15" hidden="false" customHeight="false" outlineLevel="0" collapsed="false">
      <c r="A22" s="6" t="s">
        <v>168</v>
      </c>
      <c r="B22" s="6" t="s">
        <v>169</v>
      </c>
      <c r="C22" s="6" t="s">
        <v>64</v>
      </c>
      <c r="D22" s="6" t="s">
        <v>87</v>
      </c>
      <c r="E22" s="6" t="s">
        <v>151</v>
      </c>
      <c r="F22" s="9" t="n">
        <v>46279</v>
      </c>
      <c r="G22" s="9" t="n">
        <v>46644</v>
      </c>
      <c r="H22" s="8" t="n">
        <f aca="false">G22-'LEIA-ME'!$B$4</f>
        <v>333</v>
      </c>
      <c r="I22" s="6" t="str">
        <f aca="false">IF(H22&lt;0,"Vencido",IF(H22&lt;=30,"Vence em até 30 dias",IF(H22&lt;=60,"Vence em até 60 dias","Válido")))</f>
        <v>Válido</v>
      </c>
    </row>
    <row r="23" customFormat="false" ht="15" hidden="false" customHeight="false" outlineLevel="0" collapsed="false">
      <c r="A23" s="6" t="s">
        <v>170</v>
      </c>
      <c r="B23" s="6" t="s">
        <v>171</v>
      </c>
      <c r="C23" s="6" t="s">
        <v>64</v>
      </c>
      <c r="D23" s="6" t="s">
        <v>83</v>
      </c>
      <c r="E23" s="6" t="s">
        <v>82</v>
      </c>
      <c r="F23" s="9" t="n">
        <v>45930</v>
      </c>
      <c r="G23" s="9" t="n">
        <v>46295</v>
      </c>
      <c r="H23" s="8" t="n">
        <f aca="false">G23-'LEIA-ME'!$B$4</f>
        <v>-16</v>
      </c>
      <c r="I23" s="6" t="str">
        <f aca="false">IF(H23&lt;0,"Vencido",IF(H23&lt;=30,"Vence em até 30 dias",IF(H23&lt;=60,"Vence em até 60 dias","Válido")))</f>
        <v>Vencido</v>
      </c>
    </row>
    <row r="24" customFormat="false" ht="15" hidden="false" customHeight="false" outlineLevel="0" collapsed="false">
      <c r="A24" s="6" t="s">
        <v>172</v>
      </c>
      <c r="B24" s="6" t="s">
        <v>173</v>
      </c>
      <c r="C24" s="6" t="s">
        <v>64</v>
      </c>
      <c r="D24" s="6" t="s">
        <v>82</v>
      </c>
      <c r="E24" s="6" t="s">
        <v>127</v>
      </c>
      <c r="F24" s="9" t="n">
        <v>45952</v>
      </c>
      <c r="G24" s="9" t="n">
        <v>46317</v>
      </c>
      <c r="H24" s="8" t="n">
        <f aca="false">G24-'LEIA-ME'!$B$4</f>
        <v>6</v>
      </c>
      <c r="I24" s="6" t="str">
        <f aca="false">IF(H24&lt;0,"Vencido",IF(H24&lt;=30,"Vence em até 30 dias",IF(H24&lt;=60,"Vence em até 60 dias","Válido")))</f>
        <v>Vence em até 30 dias</v>
      </c>
    </row>
    <row r="25" customFormat="false" ht="15" hidden="false" customHeight="false" outlineLevel="0" collapsed="false">
      <c r="A25" s="6" t="s">
        <v>174</v>
      </c>
      <c r="B25" s="6" t="s">
        <v>175</v>
      </c>
      <c r="C25" s="6" t="s">
        <v>64</v>
      </c>
      <c r="D25" s="6" t="s">
        <v>86</v>
      </c>
      <c r="E25" s="6" t="s">
        <v>130</v>
      </c>
      <c r="F25" s="9" t="n">
        <v>45960</v>
      </c>
      <c r="G25" s="9" t="n">
        <v>46325</v>
      </c>
      <c r="H25" s="8" t="n">
        <f aca="false">G25-'LEIA-ME'!$B$4</f>
        <v>14</v>
      </c>
      <c r="I25" s="6" t="str">
        <f aca="false">IF(H25&lt;0,"Vencido",IF(H25&lt;=30,"Vence em até 30 dias",IF(H25&lt;=60,"Vence em até 60 dias","Válido")))</f>
        <v>Vence em até 30 dias</v>
      </c>
    </row>
    <row r="26" customFormat="false" ht="15" hidden="false" customHeight="false" outlineLevel="0" collapsed="false">
      <c r="A26" s="6" t="s">
        <v>176</v>
      </c>
      <c r="B26" s="6" t="s">
        <v>177</v>
      </c>
      <c r="C26" s="6" t="s">
        <v>64</v>
      </c>
      <c r="D26" s="6" t="s">
        <v>83</v>
      </c>
      <c r="E26" s="6" t="s">
        <v>130</v>
      </c>
      <c r="F26" s="9" t="n">
        <v>46092</v>
      </c>
      <c r="G26" s="9" t="n">
        <v>46457</v>
      </c>
      <c r="H26" s="8" t="n">
        <f aca="false">G26-'LEIA-ME'!$B$4</f>
        <v>146</v>
      </c>
      <c r="I26" s="6" t="str">
        <f aca="false">IF(H26&lt;0,"Vencido",IF(H26&lt;=30,"Vence em até 30 dias",IF(H26&lt;=60,"Vence em até 60 dias","Válido")))</f>
        <v>Válido</v>
      </c>
    </row>
    <row r="27" customFormat="false" ht="15" hidden="false" customHeight="false" outlineLevel="0" collapsed="false">
      <c r="A27" s="6" t="s">
        <v>178</v>
      </c>
      <c r="B27" s="6" t="s">
        <v>179</v>
      </c>
      <c r="C27" s="6" t="s">
        <v>69</v>
      </c>
      <c r="D27" s="6" t="s">
        <v>86</v>
      </c>
      <c r="E27" s="6" t="s">
        <v>127</v>
      </c>
      <c r="F27" s="9" t="n">
        <v>46149</v>
      </c>
      <c r="G27" s="9" t="n">
        <v>46514</v>
      </c>
      <c r="H27" s="8" t="n">
        <f aca="false">G27-'LEIA-ME'!$B$4</f>
        <v>203</v>
      </c>
      <c r="I27" s="6" t="str">
        <f aca="false">IF(H27&lt;0,"Vencido",IF(H27&lt;=30,"Vence em até 30 dias",IF(H27&lt;=60,"Vence em até 60 dias","Válido")))</f>
        <v>Válido</v>
      </c>
    </row>
    <row r="28" customFormat="false" ht="15" hidden="false" customHeight="false" outlineLevel="0" collapsed="false">
      <c r="A28" s="6" t="s">
        <v>180</v>
      </c>
      <c r="B28" s="6" t="s">
        <v>181</v>
      </c>
      <c r="C28" s="6" t="s">
        <v>69</v>
      </c>
      <c r="D28" s="6" t="s">
        <v>83</v>
      </c>
      <c r="E28" s="6" t="s">
        <v>127</v>
      </c>
      <c r="F28" s="9" t="n">
        <v>46133</v>
      </c>
      <c r="G28" s="9" t="n">
        <v>46498</v>
      </c>
      <c r="H28" s="8" t="n">
        <f aca="false">G28-'LEIA-ME'!$B$4</f>
        <v>187</v>
      </c>
      <c r="I28" s="6" t="str">
        <f aca="false">IF(H28&lt;0,"Vencido",IF(H28&lt;=30,"Vence em até 30 dias",IF(H28&lt;=60,"Vence em até 60 dias","Válido")))</f>
        <v>Válido</v>
      </c>
    </row>
    <row r="29" customFormat="false" ht="15" hidden="false" customHeight="false" outlineLevel="0" collapsed="false">
      <c r="A29" s="6" t="s">
        <v>182</v>
      </c>
      <c r="B29" s="6" t="s">
        <v>183</v>
      </c>
      <c r="C29" s="6" t="s">
        <v>69</v>
      </c>
      <c r="D29" s="6" t="s">
        <v>85</v>
      </c>
      <c r="E29" s="6" t="s">
        <v>151</v>
      </c>
      <c r="F29" s="9" t="n">
        <v>46161</v>
      </c>
      <c r="G29" s="9" t="n">
        <v>46526</v>
      </c>
      <c r="H29" s="8" t="n">
        <f aca="false">G29-'LEIA-ME'!$B$4</f>
        <v>215</v>
      </c>
      <c r="I29" s="6" t="str">
        <f aca="false">IF(H29&lt;0,"Vencido",IF(H29&lt;=30,"Vence em até 30 dias",IF(H29&lt;=60,"Vence em até 60 dias","Válido")))</f>
        <v>Válido</v>
      </c>
    </row>
    <row r="30" customFormat="false" ht="15" hidden="false" customHeight="false" outlineLevel="0" collapsed="false">
      <c r="A30" s="6" t="s">
        <v>184</v>
      </c>
      <c r="B30" s="6" t="s">
        <v>185</v>
      </c>
      <c r="C30" s="6" t="s">
        <v>69</v>
      </c>
      <c r="D30" s="6" t="s">
        <v>87</v>
      </c>
      <c r="E30" s="6" t="s">
        <v>151</v>
      </c>
      <c r="F30" s="9" t="n">
        <v>46008</v>
      </c>
      <c r="G30" s="9" t="n">
        <v>46373</v>
      </c>
      <c r="H30" s="8" t="n">
        <f aca="false">G30-'LEIA-ME'!$B$4</f>
        <v>62</v>
      </c>
      <c r="I30" s="6" t="str">
        <f aca="false">IF(H30&lt;0,"Vencido",IF(H30&lt;=30,"Vence em até 30 dias",IF(H30&lt;=60,"Vence em até 60 dias","Válido")))</f>
        <v>Válido</v>
      </c>
    </row>
    <row r="31" customFormat="false" ht="15" hidden="false" customHeight="false" outlineLevel="0" collapsed="false">
      <c r="A31" s="6" t="s">
        <v>186</v>
      </c>
      <c r="B31" s="6" t="s">
        <v>187</v>
      </c>
      <c r="C31" s="6" t="s">
        <v>69</v>
      </c>
      <c r="D31" s="6" t="s">
        <v>82</v>
      </c>
      <c r="E31" s="6" t="s">
        <v>130</v>
      </c>
      <c r="F31" s="9" t="n">
        <v>45996</v>
      </c>
      <c r="G31" s="9" t="n">
        <v>46361</v>
      </c>
      <c r="H31" s="8" t="n">
        <f aca="false">G31-'LEIA-ME'!$B$4</f>
        <v>50</v>
      </c>
      <c r="I31" s="6" t="str">
        <f aca="false">IF(H31&lt;0,"Vencido",IF(H31&lt;=30,"Vence em até 30 dias",IF(H31&lt;=60,"Vence em até 60 dias","Válido")))</f>
        <v>Vence em até 60 dias</v>
      </c>
    </row>
    <row r="32" customFormat="false" ht="15" hidden="false" customHeight="false" outlineLevel="0" collapsed="false">
      <c r="A32" s="6" t="s">
        <v>188</v>
      </c>
      <c r="B32" s="6" t="s">
        <v>189</v>
      </c>
      <c r="C32" s="6" t="s">
        <v>69</v>
      </c>
      <c r="D32" s="6" t="s">
        <v>86</v>
      </c>
      <c r="E32" s="6" t="s">
        <v>127</v>
      </c>
      <c r="F32" s="9" t="n">
        <v>46008</v>
      </c>
      <c r="G32" s="9" t="n">
        <v>46373</v>
      </c>
      <c r="H32" s="8" t="n">
        <f aca="false">G32-'LEIA-ME'!$B$4</f>
        <v>62</v>
      </c>
      <c r="I32" s="6" t="str">
        <f aca="false">IF(H32&lt;0,"Vencido",IF(H32&lt;=30,"Vence em até 30 dias",IF(H32&lt;=60,"Vence em até 60 dias","Válido")))</f>
        <v>Válido</v>
      </c>
    </row>
    <row r="33" customFormat="false" ht="15" hidden="false" customHeight="false" outlineLevel="0" collapsed="false">
      <c r="A33" s="6" t="s">
        <v>190</v>
      </c>
      <c r="B33" s="6" t="s">
        <v>191</v>
      </c>
      <c r="C33" s="6" t="s">
        <v>69</v>
      </c>
      <c r="D33" s="6" t="s">
        <v>84</v>
      </c>
      <c r="E33" s="6" t="s">
        <v>151</v>
      </c>
      <c r="F33" s="9" t="n">
        <v>46208</v>
      </c>
      <c r="G33" s="9" t="n">
        <v>46573</v>
      </c>
      <c r="H33" s="8" t="n">
        <f aca="false">G33-'LEIA-ME'!$B$4</f>
        <v>262</v>
      </c>
      <c r="I33" s="6" t="str">
        <f aca="false">IF(H33&lt;0,"Vencido",IF(H33&lt;=30,"Vence em até 30 dias",IF(H33&lt;=60,"Vence em até 60 dias","Válido")))</f>
        <v>Válido</v>
      </c>
    </row>
    <row r="34" customFormat="false" ht="15" hidden="false" customHeight="false" outlineLevel="0" collapsed="false">
      <c r="A34" s="6" t="s">
        <v>192</v>
      </c>
      <c r="B34" s="6" t="s">
        <v>193</v>
      </c>
      <c r="C34" s="6" t="s">
        <v>69</v>
      </c>
      <c r="D34" s="6" t="s">
        <v>87</v>
      </c>
      <c r="E34" s="6" t="s">
        <v>151</v>
      </c>
      <c r="F34" s="9" t="n">
        <v>46096</v>
      </c>
      <c r="G34" s="9" t="n">
        <v>46461</v>
      </c>
      <c r="H34" s="8" t="n">
        <f aca="false">G34-'LEIA-ME'!$B$4</f>
        <v>150</v>
      </c>
      <c r="I34" s="6" t="str">
        <f aca="false">IF(H34&lt;0,"Vencido",IF(H34&lt;=30,"Vence em até 30 dias",IF(H34&lt;=60,"Vence em até 60 dias","Válido")))</f>
        <v>Válido</v>
      </c>
    </row>
    <row r="35" customFormat="false" ht="15" hidden="false" customHeight="false" outlineLevel="0" collapsed="false">
      <c r="A35" s="6" t="s">
        <v>194</v>
      </c>
      <c r="B35" s="6" t="s">
        <v>195</v>
      </c>
      <c r="C35" s="6" t="s">
        <v>69</v>
      </c>
      <c r="D35" s="6" t="s">
        <v>84</v>
      </c>
      <c r="E35" s="6" t="s">
        <v>151</v>
      </c>
      <c r="F35" s="9" t="n">
        <v>46161</v>
      </c>
      <c r="G35" s="9" t="n">
        <v>46526</v>
      </c>
      <c r="H35" s="8" t="n">
        <f aca="false">G35-'LEIA-ME'!$B$4</f>
        <v>215</v>
      </c>
      <c r="I35" s="6" t="str">
        <f aca="false">IF(H35&lt;0,"Vencido",IF(H35&lt;=30,"Vence em até 30 dias",IF(H35&lt;=60,"Vence em até 60 dias","Válido")))</f>
        <v>Válido</v>
      </c>
    </row>
    <row r="36" customFormat="false" ht="15" hidden="false" customHeight="false" outlineLevel="0" collapsed="false">
      <c r="A36" s="6" t="s">
        <v>196</v>
      </c>
      <c r="B36" s="6" t="s">
        <v>197</v>
      </c>
      <c r="C36" s="6" t="s">
        <v>69</v>
      </c>
      <c r="D36" s="6" t="s">
        <v>82</v>
      </c>
      <c r="E36" s="6" t="s">
        <v>127</v>
      </c>
      <c r="F36" s="9" t="n">
        <v>46149</v>
      </c>
      <c r="G36" s="9" t="n">
        <v>46514</v>
      </c>
      <c r="H36" s="8" t="n">
        <f aca="false">G36-'LEIA-ME'!$B$4</f>
        <v>203</v>
      </c>
      <c r="I36" s="6" t="str">
        <f aca="false">IF(H36&lt;0,"Vencido",IF(H36&lt;=30,"Vence em até 30 dias",IF(H36&lt;=60,"Vence em até 60 dias","Válido")))</f>
        <v>Válido</v>
      </c>
    </row>
    <row r="37" customFormat="false" ht="15" hidden="false" customHeight="false" outlineLevel="0" collapsed="false">
      <c r="A37" s="6" t="s">
        <v>198</v>
      </c>
      <c r="B37" s="6" t="s">
        <v>199</v>
      </c>
      <c r="C37" s="6" t="s">
        <v>69</v>
      </c>
      <c r="D37" s="6" t="s">
        <v>84</v>
      </c>
      <c r="E37" s="6" t="s">
        <v>130</v>
      </c>
      <c r="F37" s="9" t="n">
        <v>45850</v>
      </c>
      <c r="G37" s="9" t="n">
        <v>46215</v>
      </c>
      <c r="H37" s="8" t="n">
        <f aca="false">G37-'LEIA-ME'!$B$4</f>
        <v>-96</v>
      </c>
      <c r="I37" s="6" t="str">
        <f aca="false">IF(H37&lt;0,"Vencido",IF(H37&lt;=30,"Vence em até 30 dias",IF(H37&lt;=60,"Vence em até 60 dias","Válido")))</f>
        <v>Vencido</v>
      </c>
    </row>
    <row r="38" customFormat="false" ht="15" hidden="false" customHeight="false" outlineLevel="0" collapsed="false">
      <c r="A38" s="6" t="s">
        <v>200</v>
      </c>
      <c r="B38" s="6" t="s">
        <v>201</v>
      </c>
      <c r="C38" s="6" t="s">
        <v>69</v>
      </c>
      <c r="D38" s="6" t="s">
        <v>86</v>
      </c>
      <c r="E38" s="6" t="s">
        <v>127</v>
      </c>
      <c r="F38" s="9" t="n">
        <v>46052</v>
      </c>
      <c r="G38" s="9" t="n">
        <v>46417</v>
      </c>
      <c r="H38" s="8" t="n">
        <f aca="false">G38-'LEIA-ME'!$B$4</f>
        <v>106</v>
      </c>
      <c r="I38" s="6" t="str">
        <f aca="false">IF(H38&lt;0,"Vencido",IF(H38&lt;=30,"Vence em até 30 dias",IF(H38&lt;=60,"Vence em até 60 dias","Válido")))</f>
        <v>Válido</v>
      </c>
    </row>
    <row r="39" customFormat="false" ht="15" hidden="false" customHeight="false" outlineLevel="0" collapsed="false">
      <c r="A39" s="6" t="s">
        <v>202</v>
      </c>
      <c r="B39" s="6" t="s">
        <v>203</v>
      </c>
      <c r="C39" s="6" t="s">
        <v>69</v>
      </c>
      <c r="D39" s="6" t="s">
        <v>87</v>
      </c>
      <c r="E39" s="6" t="s">
        <v>130</v>
      </c>
      <c r="F39" s="9" t="n">
        <v>46048</v>
      </c>
      <c r="G39" s="9" t="n">
        <v>46413</v>
      </c>
      <c r="H39" s="8" t="n">
        <f aca="false">G39-'LEIA-ME'!$B$4</f>
        <v>102</v>
      </c>
      <c r="I39" s="6" t="str">
        <f aca="false">IF(H39&lt;0,"Vencido",IF(H39&lt;=30,"Vence em até 30 dias",IF(H39&lt;=60,"Vence em até 60 dias","Válido")))</f>
        <v>Válido</v>
      </c>
    </row>
    <row r="40" customFormat="false" ht="15" hidden="false" customHeight="false" outlineLevel="0" collapsed="false">
      <c r="A40" s="6" t="s">
        <v>204</v>
      </c>
      <c r="B40" s="6" t="s">
        <v>205</v>
      </c>
      <c r="C40" s="6" t="s">
        <v>69</v>
      </c>
      <c r="D40" s="6" t="s">
        <v>85</v>
      </c>
      <c r="E40" s="6" t="s">
        <v>82</v>
      </c>
      <c r="F40" s="9" t="n">
        <v>46055</v>
      </c>
      <c r="G40" s="9" t="n">
        <v>46420</v>
      </c>
      <c r="H40" s="8" t="n">
        <f aca="false">G40-'LEIA-ME'!$B$4</f>
        <v>109</v>
      </c>
      <c r="I40" s="6" t="str">
        <f aca="false">IF(H40&lt;0,"Vencido",IF(H40&lt;=30,"Vence em até 30 dias",IF(H40&lt;=60,"Vence em até 60 dias","Válido")))</f>
        <v>Válido</v>
      </c>
    </row>
    <row r="41" customFormat="false" ht="15" hidden="false" customHeight="false" outlineLevel="0" collapsed="false">
      <c r="A41" s="6" t="s">
        <v>206</v>
      </c>
      <c r="B41" s="6" t="s">
        <v>207</v>
      </c>
      <c r="C41" s="6" t="s">
        <v>69</v>
      </c>
      <c r="D41" s="6" t="s">
        <v>82</v>
      </c>
      <c r="E41" s="6" t="s">
        <v>130</v>
      </c>
      <c r="F41" s="9" t="n">
        <v>45973</v>
      </c>
      <c r="G41" s="9" t="n">
        <v>46338</v>
      </c>
      <c r="H41" s="8" t="n">
        <f aca="false">G41-'LEIA-ME'!$B$4</f>
        <v>27</v>
      </c>
      <c r="I41" s="6" t="str">
        <f aca="false">IF(H41&lt;0,"Vencido",IF(H41&lt;=30,"Vence em até 30 dias",IF(H41&lt;=60,"Vence em até 60 dias","Válido")))</f>
        <v>Vence em até 30 dias</v>
      </c>
    </row>
    <row r="42" customFormat="false" ht="15" hidden="false" customHeight="false" outlineLevel="0" collapsed="false">
      <c r="A42" s="6" t="s">
        <v>208</v>
      </c>
      <c r="B42" s="6" t="s">
        <v>209</v>
      </c>
      <c r="C42" s="6" t="s">
        <v>69</v>
      </c>
      <c r="D42" s="6" t="s">
        <v>84</v>
      </c>
      <c r="E42" s="6" t="s">
        <v>127</v>
      </c>
      <c r="F42" s="9" t="n">
        <v>45957</v>
      </c>
      <c r="G42" s="9" t="n">
        <v>46322</v>
      </c>
      <c r="H42" s="8" t="n">
        <f aca="false">G42-'LEIA-ME'!$B$4</f>
        <v>11</v>
      </c>
      <c r="I42" s="6" t="str">
        <f aca="false">IF(H42&lt;0,"Vencido",IF(H42&lt;=30,"Vence em até 30 dias",IF(H42&lt;=60,"Vence em até 60 dias","Válido")))</f>
        <v>Vence em até 30 dias</v>
      </c>
    </row>
    <row r="43" customFormat="false" ht="15" hidden="false" customHeight="false" outlineLevel="0" collapsed="false">
      <c r="A43" s="6" t="s">
        <v>210</v>
      </c>
      <c r="B43" s="6" t="s">
        <v>211</v>
      </c>
      <c r="C43" s="6" t="s">
        <v>69</v>
      </c>
      <c r="D43" s="6" t="s">
        <v>86</v>
      </c>
      <c r="E43" s="6" t="s">
        <v>130</v>
      </c>
      <c r="F43" s="9" t="n">
        <v>46253</v>
      </c>
      <c r="G43" s="9" t="n">
        <v>46618</v>
      </c>
      <c r="H43" s="8" t="n">
        <f aca="false">G43-'LEIA-ME'!$B$4</f>
        <v>307</v>
      </c>
      <c r="I43" s="6" t="str">
        <f aca="false">IF(H43&lt;0,"Vencido",IF(H43&lt;=30,"Vence em até 30 dias",IF(H43&lt;=60,"Vence em até 60 dias","Válido")))</f>
        <v>Válido</v>
      </c>
    </row>
    <row r="44" customFormat="false" ht="15" hidden="false" customHeight="false" outlineLevel="0" collapsed="false">
      <c r="A44" s="6" t="s">
        <v>212</v>
      </c>
      <c r="B44" s="6" t="s">
        <v>213</v>
      </c>
      <c r="C44" s="6" t="s">
        <v>69</v>
      </c>
      <c r="D44" s="6" t="s">
        <v>84</v>
      </c>
      <c r="E44" s="6" t="s">
        <v>82</v>
      </c>
      <c r="F44" s="9" t="n">
        <v>45903</v>
      </c>
      <c r="G44" s="9" t="n">
        <v>46268</v>
      </c>
      <c r="H44" s="8" t="n">
        <f aca="false">G44-'LEIA-ME'!$B$4</f>
        <v>-43</v>
      </c>
      <c r="I44" s="6" t="str">
        <f aca="false">IF(H44&lt;0,"Vencido",IF(H44&lt;=30,"Vence em até 30 dias",IF(H44&lt;=60,"Vence em até 60 dias","Válido")))</f>
        <v>Vencido</v>
      </c>
    </row>
    <row r="45" customFormat="false" ht="15" hidden="false" customHeight="false" outlineLevel="0" collapsed="false">
      <c r="A45" s="6" t="s">
        <v>214</v>
      </c>
      <c r="B45" s="6" t="s">
        <v>215</v>
      </c>
      <c r="C45" s="6" t="s">
        <v>69</v>
      </c>
      <c r="D45" s="6" t="s">
        <v>82</v>
      </c>
      <c r="E45" s="6" t="s">
        <v>130</v>
      </c>
      <c r="F45" s="9" t="n">
        <v>46306</v>
      </c>
      <c r="G45" s="9" t="n">
        <v>46671</v>
      </c>
      <c r="H45" s="8" t="n">
        <f aca="false">G45-'LEIA-ME'!$B$4</f>
        <v>360</v>
      </c>
      <c r="I45" s="6" t="str">
        <f aca="false">IF(H45&lt;0,"Vencido",IF(H45&lt;=30,"Vence em até 30 dias",IF(H45&lt;=60,"Vence em até 60 dias","Válido")))</f>
        <v>Válido</v>
      </c>
    </row>
    <row r="46" customFormat="false" ht="15" hidden="false" customHeight="false" outlineLevel="0" collapsed="false">
      <c r="A46" s="6" t="s">
        <v>216</v>
      </c>
      <c r="B46" s="6" t="s">
        <v>217</v>
      </c>
      <c r="C46" s="6" t="s">
        <v>69</v>
      </c>
      <c r="D46" s="6" t="s">
        <v>82</v>
      </c>
      <c r="E46" s="6" t="s">
        <v>127</v>
      </c>
      <c r="F46" s="9" t="n">
        <v>46044</v>
      </c>
      <c r="G46" s="9" t="n">
        <v>46409</v>
      </c>
      <c r="H46" s="8" t="n">
        <f aca="false">G46-'LEIA-ME'!$B$4</f>
        <v>98</v>
      </c>
      <c r="I46" s="6" t="str">
        <f aca="false">IF(H46&lt;0,"Vencido",IF(H46&lt;=30,"Vence em até 30 dias",IF(H46&lt;=60,"Vence em até 60 dias","Válido")))</f>
        <v>Válido</v>
      </c>
    </row>
    <row r="47" customFormat="false" ht="15" hidden="false" customHeight="false" outlineLevel="0" collapsed="false">
      <c r="A47" s="6" t="s">
        <v>218</v>
      </c>
      <c r="B47" s="6" t="s">
        <v>219</v>
      </c>
      <c r="C47" s="6" t="s">
        <v>69</v>
      </c>
      <c r="D47" s="6" t="s">
        <v>83</v>
      </c>
      <c r="E47" s="6" t="s">
        <v>151</v>
      </c>
      <c r="F47" s="9" t="n">
        <v>45856</v>
      </c>
      <c r="G47" s="9" t="n">
        <v>46221</v>
      </c>
      <c r="H47" s="8" t="n">
        <f aca="false">G47-'LEIA-ME'!$B$4</f>
        <v>-90</v>
      </c>
      <c r="I47" s="6" t="str">
        <f aca="false">IF(H47&lt;0,"Vencido",IF(H47&lt;=30,"Vence em até 30 dias",IF(H47&lt;=60,"Vence em até 60 dias","Válido")))</f>
        <v>Vencido</v>
      </c>
    </row>
    <row r="48" customFormat="false" ht="15" hidden="false" customHeight="false" outlineLevel="0" collapsed="false">
      <c r="A48" s="6" t="s">
        <v>220</v>
      </c>
      <c r="B48" s="6" t="s">
        <v>221</v>
      </c>
      <c r="C48" s="6" t="s">
        <v>69</v>
      </c>
      <c r="D48" s="6" t="s">
        <v>84</v>
      </c>
      <c r="E48" s="6" t="s">
        <v>127</v>
      </c>
      <c r="F48" s="9" t="n">
        <v>46079</v>
      </c>
      <c r="G48" s="9" t="n">
        <v>46444</v>
      </c>
      <c r="H48" s="8" t="n">
        <f aca="false">G48-'LEIA-ME'!$B$4</f>
        <v>133</v>
      </c>
      <c r="I48" s="6" t="str">
        <f aca="false">IF(H48&lt;0,"Vencido",IF(H48&lt;=30,"Vence em até 30 dias",IF(H48&lt;=60,"Vence em até 60 dias","Válido")))</f>
        <v>Válido</v>
      </c>
    </row>
    <row r="49" customFormat="false" ht="15" hidden="false" customHeight="false" outlineLevel="0" collapsed="false">
      <c r="A49" s="6" t="s">
        <v>222</v>
      </c>
      <c r="B49" s="6" t="s">
        <v>223</v>
      </c>
      <c r="C49" s="6" t="s">
        <v>69</v>
      </c>
      <c r="D49" s="6" t="s">
        <v>82</v>
      </c>
      <c r="E49" s="6" t="s">
        <v>130</v>
      </c>
      <c r="F49" s="9" t="n">
        <v>45972</v>
      </c>
      <c r="G49" s="9" t="n">
        <v>46337</v>
      </c>
      <c r="H49" s="8" t="n">
        <f aca="false">G49-'LEIA-ME'!$B$4</f>
        <v>26</v>
      </c>
      <c r="I49" s="6" t="str">
        <f aca="false">IF(H49&lt;0,"Vencido",IF(H49&lt;=30,"Vence em até 30 dias",IF(H49&lt;=60,"Vence em até 60 dias","Válido")))</f>
        <v>Vence em até 30 dias</v>
      </c>
    </row>
    <row r="50" customFormat="false" ht="15" hidden="false" customHeight="false" outlineLevel="0" collapsed="false">
      <c r="A50" s="6" t="s">
        <v>224</v>
      </c>
      <c r="B50" s="6" t="s">
        <v>225</v>
      </c>
      <c r="C50" s="6" t="s">
        <v>69</v>
      </c>
      <c r="D50" s="6" t="s">
        <v>84</v>
      </c>
      <c r="E50" s="6" t="s">
        <v>82</v>
      </c>
      <c r="F50" s="9" t="n">
        <v>46021</v>
      </c>
      <c r="G50" s="9" t="n">
        <v>46386</v>
      </c>
      <c r="H50" s="8" t="n">
        <f aca="false">G50-'LEIA-ME'!$B$4</f>
        <v>75</v>
      </c>
      <c r="I50" s="6" t="str">
        <f aca="false">IF(H50&lt;0,"Vencido",IF(H50&lt;=30,"Vence em até 30 dias",IF(H50&lt;=60,"Vence em até 60 dias","Válido")))</f>
        <v>Válido</v>
      </c>
    </row>
    <row r="51" customFormat="false" ht="15" hidden="false" customHeight="false" outlineLevel="0" collapsed="false">
      <c r="A51" s="6" t="s">
        <v>226</v>
      </c>
      <c r="B51" s="6" t="s">
        <v>227</v>
      </c>
      <c r="C51" s="6" t="s">
        <v>69</v>
      </c>
      <c r="D51" s="6" t="s">
        <v>87</v>
      </c>
      <c r="E51" s="6" t="s">
        <v>151</v>
      </c>
      <c r="F51" s="9" t="n">
        <v>46241</v>
      </c>
      <c r="G51" s="9" t="n">
        <v>46606</v>
      </c>
      <c r="H51" s="8" t="n">
        <f aca="false">G51-'LEIA-ME'!$B$4</f>
        <v>295</v>
      </c>
      <c r="I51" s="6" t="str">
        <f aca="false">IF(H51&lt;0,"Vencido",IF(H51&lt;=30,"Vence em até 30 dias",IF(H51&lt;=60,"Vence em até 60 dias","Válido")))</f>
        <v>Válido</v>
      </c>
    </row>
    <row r="52" customFormat="false" ht="15" hidden="false" customHeight="false" outlineLevel="0" collapsed="false">
      <c r="A52" s="6" t="s">
        <v>228</v>
      </c>
      <c r="B52" s="6" t="s">
        <v>229</v>
      </c>
      <c r="C52" s="6" t="s">
        <v>69</v>
      </c>
      <c r="D52" s="6" t="s">
        <v>84</v>
      </c>
      <c r="E52" s="6" t="s">
        <v>130</v>
      </c>
      <c r="F52" s="9" t="n">
        <v>45923</v>
      </c>
      <c r="G52" s="9" t="n">
        <v>46288</v>
      </c>
      <c r="H52" s="8" t="n">
        <f aca="false">G52-'LEIA-ME'!$B$4</f>
        <v>-23</v>
      </c>
      <c r="I52" s="6" t="str">
        <f aca="false">IF(H52&lt;0,"Vencido",IF(H52&lt;=30,"Vence em até 30 dias",IF(H52&lt;=60,"Vence em até 60 dias","Válido")))</f>
        <v>Vencido</v>
      </c>
    </row>
    <row r="53" customFormat="false" ht="15" hidden="false" customHeight="false" outlineLevel="0" collapsed="false">
      <c r="A53" s="6" t="s">
        <v>230</v>
      </c>
      <c r="B53" s="6" t="s">
        <v>231</v>
      </c>
      <c r="C53" s="6" t="s">
        <v>69</v>
      </c>
      <c r="D53" s="6" t="s">
        <v>82</v>
      </c>
      <c r="E53" s="6" t="s">
        <v>127</v>
      </c>
      <c r="F53" s="9" t="n">
        <v>46251</v>
      </c>
      <c r="G53" s="9" t="n">
        <v>46616</v>
      </c>
      <c r="H53" s="8" t="n">
        <f aca="false">G53-'LEIA-ME'!$B$4</f>
        <v>305</v>
      </c>
      <c r="I53" s="6" t="str">
        <f aca="false">IF(H53&lt;0,"Vencido",IF(H53&lt;=30,"Vence em até 30 dias",IF(H53&lt;=60,"Vence em até 60 dias","Válido")))</f>
        <v>Válido</v>
      </c>
    </row>
    <row r="54" customFormat="false" ht="15" hidden="false" customHeight="false" outlineLevel="0" collapsed="false">
      <c r="A54" s="6" t="s">
        <v>232</v>
      </c>
      <c r="B54" s="6" t="s">
        <v>233</v>
      </c>
      <c r="C54" s="6" t="s">
        <v>69</v>
      </c>
      <c r="D54" s="6" t="s">
        <v>82</v>
      </c>
      <c r="E54" s="6" t="s">
        <v>127</v>
      </c>
      <c r="F54" s="9" t="n">
        <v>46213</v>
      </c>
      <c r="G54" s="9" t="n">
        <v>46578</v>
      </c>
      <c r="H54" s="8" t="n">
        <f aca="false">G54-'LEIA-ME'!$B$4</f>
        <v>267</v>
      </c>
      <c r="I54" s="6" t="str">
        <f aca="false">IF(H54&lt;0,"Vencido",IF(H54&lt;=30,"Vence em até 30 dias",IF(H54&lt;=60,"Vence em até 60 dias","Válido")))</f>
        <v>Válido</v>
      </c>
    </row>
    <row r="55" customFormat="false" ht="15" hidden="false" customHeight="false" outlineLevel="0" collapsed="false">
      <c r="A55" s="6" t="s">
        <v>234</v>
      </c>
      <c r="B55" s="6" t="s">
        <v>235</v>
      </c>
      <c r="C55" s="6" t="s">
        <v>69</v>
      </c>
      <c r="D55" s="6" t="s">
        <v>85</v>
      </c>
      <c r="E55" s="6" t="s">
        <v>127</v>
      </c>
      <c r="F55" s="9" t="n">
        <v>46150</v>
      </c>
      <c r="G55" s="9" t="n">
        <v>46515</v>
      </c>
      <c r="H55" s="8" t="n">
        <f aca="false">G55-'LEIA-ME'!$B$4</f>
        <v>204</v>
      </c>
      <c r="I55" s="6" t="str">
        <f aca="false">IF(H55&lt;0,"Vencido",IF(H55&lt;=30,"Vence em até 30 dias",IF(H55&lt;=60,"Vence em até 60 dias","Válido")))</f>
        <v>Válido</v>
      </c>
    </row>
    <row r="56" customFormat="false" ht="15" hidden="false" customHeight="false" outlineLevel="0" collapsed="false">
      <c r="A56" s="6" t="s">
        <v>236</v>
      </c>
      <c r="B56" s="6" t="s">
        <v>237</v>
      </c>
      <c r="C56" s="6" t="s">
        <v>69</v>
      </c>
      <c r="D56" s="6" t="s">
        <v>82</v>
      </c>
      <c r="E56" s="6" t="s">
        <v>127</v>
      </c>
      <c r="F56" s="9" t="n">
        <v>46203</v>
      </c>
      <c r="G56" s="9" t="n">
        <v>46568</v>
      </c>
      <c r="H56" s="8" t="n">
        <f aca="false">G56-'LEIA-ME'!$B$4</f>
        <v>257</v>
      </c>
      <c r="I56" s="6" t="str">
        <f aca="false">IF(H56&lt;0,"Vencido",IF(H56&lt;=30,"Vence em até 30 dias",IF(H56&lt;=60,"Vence em até 60 dias","Válido")))</f>
        <v>Válido</v>
      </c>
    </row>
    <row r="57" customFormat="false" ht="15" hidden="false" customHeight="false" outlineLevel="0" collapsed="false">
      <c r="A57" s="6" t="s">
        <v>238</v>
      </c>
      <c r="B57" s="6" t="s">
        <v>239</v>
      </c>
      <c r="C57" s="6" t="s">
        <v>69</v>
      </c>
      <c r="D57" s="6" t="s">
        <v>84</v>
      </c>
      <c r="E57" s="6" t="s">
        <v>127</v>
      </c>
      <c r="F57" s="9" t="n">
        <v>46297</v>
      </c>
      <c r="G57" s="9" t="n">
        <v>46662</v>
      </c>
      <c r="H57" s="8" t="n">
        <f aca="false">G57-'LEIA-ME'!$B$4</f>
        <v>351</v>
      </c>
      <c r="I57" s="6" t="str">
        <f aca="false">IF(H57&lt;0,"Vencido",IF(H57&lt;=30,"Vence em até 30 dias",IF(H57&lt;=60,"Vence em até 60 dias","Válido")))</f>
        <v>Válido</v>
      </c>
    </row>
    <row r="58" customFormat="false" ht="15" hidden="false" customHeight="false" outlineLevel="0" collapsed="false">
      <c r="A58" s="6" t="s">
        <v>240</v>
      </c>
      <c r="B58" s="6" t="s">
        <v>241</v>
      </c>
      <c r="C58" s="6" t="s">
        <v>69</v>
      </c>
      <c r="D58" s="6" t="s">
        <v>84</v>
      </c>
      <c r="E58" s="6" t="s">
        <v>127</v>
      </c>
      <c r="F58" s="9" t="n">
        <v>46192</v>
      </c>
      <c r="G58" s="9" t="n">
        <v>46557</v>
      </c>
      <c r="H58" s="8" t="n">
        <f aca="false">G58-'LEIA-ME'!$B$4</f>
        <v>246</v>
      </c>
      <c r="I58" s="6" t="str">
        <f aca="false">IF(H58&lt;0,"Vencido",IF(H58&lt;=30,"Vence em até 30 dias",IF(H58&lt;=60,"Vence em até 60 dias","Válido")))</f>
        <v>Válido</v>
      </c>
    </row>
    <row r="59" customFormat="false" ht="15" hidden="false" customHeight="false" outlineLevel="0" collapsed="false">
      <c r="A59" s="6" t="s">
        <v>242</v>
      </c>
      <c r="B59" s="6" t="s">
        <v>243</v>
      </c>
      <c r="C59" s="6" t="s">
        <v>69</v>
      </c>
      <c r="D59" s="6" t="s">
        <v>85</v>
      </c>
      <c r="E59" s="6" t="s">
        <v>127</v>
      </c>
      <c r="F59" s="9" t="n">
        <v>46008</v>
      </c>
      <c r="G59" s="9" t="n">
        <v>46373</v>
      </c>
      <c r="H59" s="8" t="n">
        <f aca="false">G59-'LEIA-ME'!$B$4</f>
        <v>62</v>
      </c>
      <c r="I59" s="6" t="str">
        <f aca="false">IF(H59&lt;0,"Vencido",IF(H59&lt;=30,"Vence em até 30 dias",IF(H59&lt;=60,"Vence em até 60 dias","Válido")))</f>
        <v>Válido</v>
      </c>
    </row>
    <row r="60" customFormat="false" ht="15" hidden="false" customHeight="false" outlineLevel="0" collapsed="false">
      <c r="A60" s="6" t="s">
        <v>244</v>
      </c>
      <c r="B60" s="6" t="s">
        <v>245</v>
      </c>
      <c r="C60" s="6" t="s">
        <v>69</v>
      </c>
      <c r="D60" s="6" t="s">
        <v>83</v>
      </c>
      <c r="E60" s="6" t="s">
        <v>151</v>
      </c>
      <c r="F60" s="9" t="n">
        <v>46136</v>
      </c>
      <c r="G60" s="9" t="n">
        <v>46501</v>
      </c>
      <c r="H60" s="8" t="n">
        <f aca="false">G60-'LEIA-ME'!$B$4</f>
        <v>190</v>
      </c>
      <c r="I60" s="6" t="str">
        <f aca="false">IF(H60&lt;0,"Vencido",IF(H60&lt;=30,"Vence em até 30 dias",IF(H60&lt;=60,"Vence em até 60 dias","Válido")))</f>
        <v>Válido</v>
      </c>
    </row>
    <row r="61" customFormat="false" ht="15" hidden="false" customHeight="false" outlineLevel="0" collapsed="false">
      <c r="A61" s="6" t="s">
        <v>246</v>
      </c>
      <c r="B61" s="6" t="s">
        <v>247</v>
      </c>
      <c r="C61" s="6" t="s">
        <v>69</v>
      </c>
      <c r="D61" s="6" t="s">
        <v>83</v>
      </c>
      <c r="E61" s="6" t="s">
        <v>130</v>
      </c>
      <c r="F61" s="9" t="n">
        <v>46131</v>
      </c>
      <c r="G61" s="9" t="n">
        <v>46496</v>
      </c>
      <c r="H61" s="8" t="n">
        <f aca="false">G61-'LEIA-ME'!$B$4</f>
        <v>185</v>
      </c>
      <c r="I61" s="6" t="str">
        <f aca="false">IF(H61&lt;0,"Vencido",IF(H61&lt;=30,"Vence em até 30 dias",IF(H61&lt;=60,"Vence em até 60 dias","Válido")))</f>
        <v>Válido</v>
      </c>
    </row>
    <row r="62" customFormat="false" ht="15" hidden="false" customHeight="false" outlineLevel="0" collapsed="false">
      <c r="A62" s="6" t="s">
        <v>248</v>
      </c>
      <c r="B62" s="6" t="s">
        <v>249</v>
      </c>
      <c r="C62" s="6" t="s">
        <v>73</v>
      </c>
      <c r="D62" s="6" t="s">
        <v>83</v>
      </c>
      <c r="E62" s="6" t="s">
        <v>127</v>
      </c>
      <c r="F62" s="9" t="n">
        <v>46122</v>
      </c>
      <c r="G62" s="9" t="n">
        <v>46487</v>
      </c>
      <c r="H62" s="8" t="n">
        <f aca="false">G62-'LEIA-ME'!$B$4</f>
        <v>176</v>
      </c>
      <c r="I62" s="6" t="str">
        <f aca="false">IF(H62&lt;0,"Vencido",IF(H62&lt;=30,"Vence em até 30 dias",IF(H62&lt;=60,"Vence em até 60 dias","Válido")))</f>
        <v>Válido</v>
      </c>
    </row>
    <row r="63" customFormat="false" ht="15" hidden="false" customHeight="false" outlineLevel="0" collapsed="false">
      <c r="A63" s="6" t="s">
        <v>250</v>
      </c>
      <c r="B63" s="6" t="s">
        <v>251</v>
      </c>
      <c r="C63" s="6" t="s">
        <v>73</v>
      </c>
      <c r="D63" s="6" t="s">
        <v>84</v>
      </c>
      <c r="E63" s="6" t="s">
        <v>127</v>
      </c>
      <c r="F63" s="9" t="n">
        <v>45965</v>
      </c>
      <c r="G63" s="9" t="n">
        <v>46330</v>
      </c>
      <c r="H63" s="8" t="n">
        <f aca="false">G63-'LEIA-ME'!$B$4</f>
        <v>19</v>
      </c>
      <c r="I63" s="6" t="str">
        <f aca="false">IF(H63&lt;0,"Vencido",IF(H63&lt;=30,"Vence em até 30 dias",IF(H63&lt;=60,"Vence em até 60 dias","Válido")))</f>
        <v>Vence em até 30 dias</v>
      </c>
    </row>
    <row r="64" customFormat="false" ht="15" hidden="false" customHeight="false" outlineLevel="0" collapsed="false">
      <c r="A64" s="6" t="s">
        <v>252</v>
      </c>
      <c r="B64" s="6" t="s">
        <v>253</v>
      </c>
      <c r="C64" s="6" t="s">
        <v>73</v>
      </c>
      <c r="D64" s="6" t="s">
        <v>85</v>
      </c>
      <c r="E64" s="6" t="s">
        <v>82</v>
      </c>
      <c r="F64" s="9" t="n">
        <v>45928</v>
      </c>
      <c r="G64" s="9" t="n">
        <v>46293</v>
      </c>
      <c r="H64" s="8" t="n">
        <f aca="false">G64-'LEIA-ME'!$B$4</f>
        <v>-18</v>
      </c>
      <c r="I64" s="6" t="str">
        <f aca="false">IF(H64&lt;0,"Vencido",IF(H64&lt;=30,"Vence em até 30 dias",IF(H64&lt;=60,"Vence em até 60 dias","Válido")))</f>
        <v>Vencido</v>
      </c>
    </row>
    <row r="65" customFormat="false" ht="15" hidden="false" customHeight="false" outlineLevel="0" collapsed="false">
      <c r="A65" s="6" t="s">
        <v>254</v>
      </c>
      <c r="B65" s="6" t="s">
        <v>255</v>
      </c>
      <c r="C65" s="6" t="s">
        <v>73</v>
      </c>
      <c r="D65" s="6" t="s">
        <v>85</v>
      </c>
      <c r="E65" s="6" t="s">
        <v>151</v>
      </c>
      <c r="F65" s="9" t="n">
        <v>46259</v>
      </c>
      <c r="G65" s="9" t="n">
        <v>46624</v>
      </c>
      <c r="H65" s="8" t="n">
        <f aca="false">G65-'LEIA-ME'!$B$4</f>
        <v>313</v>
      </c>
      <c r="I65" s="6" t="str">
        <f aca="false">IF(H65&lt;0,"Vencido",IF(H65&lt;=30,"Vence em até 30 dias",IF(H65&lt;=60,"Vence em até 60 dias","Válido")))</f>
        <v>Válido</v>
      </c>
    </row>
    <row r="66" customFormat="false" ht="15" hidden="false" customHeight="false" outlineLevel="0" collapsed="false">
      <c r="A66" s="6" t="s">
        <v>256</v>
      </c>
      <c r="B66" s="6" t="s">
        <v>257</v>
      </c>
      <c r="C66" s="6" t="s">
        <v>73</v>
      </c>
      <c r="D66" s="6" t="s">
        <v>87</v>
      </c>
      <c r="E66" s="6" t="s">
        <v>82</v>
      </c>
      <c r="F66" s="9" t="n">
        <v>45965</v>
      </c>
      <c r="G66" s="9" t="n">
        <v>46330</v>
      </c>
      <c r="H66" s="8" t="n">
        <f aca="false">G66-'LEIA-ME'!$B$4</f>
        <v>19</v>
      </c>
      <c r="I66" s="6" t="str">
        <f aca="false">IF(H66&lt;0,"Vencido",IF(H66&lt;=30,"Vence em até 30 dias",IF(H66&lt;=60,"Vence em até 60 dias","Válido")))</f>
        <v>Vence em até 30 dias</v>
      </c>
    </row>
    <row r="67" customFormat="false" ht="15" hidden="false" customHeight="false" outlineLevel="0" collapsed="false">
      <c r="A67" s="6" t="s">
        <v>258</v>
      </c>
      <c r="B67" s="6" t="s">
        <v>259</v>
      </c>
      <c r="C67" s="6" t="s">
        <v>73</v>
      </c>
      <c r="D67" s="6" t="s">
        <v>86</v>
      </c>
      <c r="E67" s="6" t="s">
        <v>82</v>
      </c>
      <c r="F67" s="9" t="n">
        <v>46260</v>
      </c>
      <c r="G67" s="9" t="n">
        <v>46625</v>
      </c>
      <c r="H67" s="8" t="n">
        <f aca="false">G67-'LEIA-ME'!$B$4</f>
        <v>314</v>
      </c>
      <c r="I67" s="6" t="str">
        <f aca="false">IF(H67&lt;0,"Vencido",IF(H67&lt;=30,"Vence em até 30 dias",IF(H67&lt;=60,"Vence em até 60 dias","Válido")))</f>
        <v>Válido</v>
      </c>
    </row>
    <row r="68" customFormat="false" ht="15" hidden="false" customHeight="false" outlineLevel="0" collapsed="false">
      <c r="A68" s="6" t="s">
        <v>260</v>
      </c>
      <c r="B68" s="6" t="s">
        <v>261</v>
      </c>
      <c r="C68" s="6" t="s">
        <v>73</v>
      </c>
      <c r="D68" s="6" t="s">
        <v>87</v>
      </c>
      <c r="E68" s="6" t="s">
        <v>82</v>
      </c>
      <c r="F68" s="9" t="n">
        <v>46023</v>
      </c>
      <c r="G68" s="9" t="n">
        <v>46388</v>
      </c>
      <c r="H68" s="8" t="n">
        <f aca="false">G68-'LEIA-ME'!$B$4</f>
        <v>77</v>
      </c>
      <c r="I68" s="6" t="str">
        <f aca="false">IF(H68&lt;0,"Vencido",IF(H68&lt;=30,"Vence em até 30 dias",IF(H68&lt;=60,"Vence em até 60 dias","Válido")))</f>
        <v>Válido</v>
      </c>
    </row>
    <row r="69" customFormat="false" ht="15" hidden="false" customHeight="false" outlineLevel="0" collapsed="false">
      <c r="A69" s="6" t="s">
        <v>262</v>
      </c>
      <c r="B69" s="6" t="s">
        <v>263</v>
      </c>
      <c r="C69" s="6" t="s">
        <v>73</v>
      </c>
      <c r="D69" s="6" t="s">
        <v>86</v>
      </c>
      <c r="E69" s="6" t="s">
        <v>82</v>
      </c>
      <c r="F69" s="9" t="n">
        <v>46067</v>
      </c>
      <c r="G69" s="9" t="n">
        <v>46432</v>
      </c>
      <c r="H69" s="8" t="n">
        <f aca="false">G69-'LEIA-ME'!$B$4</f>
        <v>121</v>
      </c>
      <c r="I69" s="6" t="str">
        <f aca="false">IF(H69&lt;0,"Vencido",IF(H69&lt;=30,"Vence em até 30 dias",IF(H69&lt;=60,"Vence em até 60 dias","Válido")))</f>
        <v>Válido</v>
      </c>
    </row>
    <row r="70" customFormat="false" ht="15" hidden="false" customHeight="false" outlineLevel="0" collapsed="false">
      <c r="A70" s="6" t="s">
        <v>264</v>
      </c>
      <c r="B70" s="6" t="s">
        <v>265</v>
      </c>
      <c r="C70" s="6" t="s">
        <v>73</v>
      </c>
      <c r="D70" s="6" t="s">
        <v>86</v>
      </c>
      <c r="E70" s="6" t="s">
        <v>127</v>
      </c>
      <c r="F70" s="9" t="n">
        <v>46005</v>
      </c>
      <c r="G70" s="9" t="n">
        <v>46370</v>
      </c>
      <c r="H70" s="8" t="n">
        <f aca="false">G70-'LEIA-ME'!$B$4</f>
        <v>59</v>
      </c>
      <c r="I70" s="6" t="str">
        <f aca="false">IF(H70&lt;0,"Vencido",IF(H70&lt;=30,"Vence em até 30 dias",IF(H70&lt;=60,"Vence em até 60 dias","Válido")))</f>
        <v>Vence em até 60 dias</v>
      </c>
    </row>
    <row r="71" customFormat="false" ht="15" hidden="false" customHeight="false" outlineLevel="0" collapsed="false">
      <c r="A71" s="6" t="s">
        <v>266</v>
      </c>
      <c r="B71" s="6" t="s">
        <v>267</v>
      </c>
      <c r="C71" s="6" t="s">
        <v>73</v>
      </c>
      <c r="D71" s="6" t="s">
        <v>84</v>
      </c>
      <c r="E71" s="6" t="s">
        <v>151</v>
      </c>
      <c r="F71" s="9" t="n">
        <v>46114</v>
      </c>
      <c r="G71" s="9" t="n">
        <v>46479</v>
      </c>
      <c r="H71" s="8" t="n">
        <f aca="false">G71-'LEIA-ME'!$B$4</f>
        <v>168</v>
      </c>
      <c r="I71" s="6" t="str">
        <f aca="false">IF(H71&lt;0,"Vencido",IF(H71&lt;=30,"Vence em até 30 dias",IF(H71&lt;=60,"Vence em até 60 dias","Válido")))</f>
        <v>Válido</v>
      </c>
    </row>
    <row r="72" customFormat="false" ht="15" hidden="false" customHeight="false" outlineLevel="0" collapsed="false">
      <c r="A72" s="6" t="s">
        <v>268</v>
      </c>
      <c r="B72" s="6" t="s">
        <v>269</v>
      </c>
      <c r="C72" s="6" t="s">
        <v>73</v>
      </c>
      <c r="D72" s="6" t="s">
        <v>86</v>
      </c>
      <c r="E72" s="6" t="s">
        <v>130</v>
      </c>
      <c r="F72" s="9" t="n">
        <v>46011</v>
      </c>
      <c r="G72" s="9" t="n">
        <v>46376</v>
      </c>
      <c r="H72" s="8" t="n">
        <f aca="false">G72-'LEIA-ME'!$B$4</f>
        <v>65</v>
      </c>
      <c r="I72" s="6" t="str">
        <f aca="false">IF(H72&lt;0,"Vencido",IF(H72&lt;=30,"Vence em até 30 dias",IF(H72&lt;=60,"Vence em até 60 dias","Válido")))</f>
        <v>Válido</v>
      </c>
    </row>
    <row r="73" customFormat="false" ht="15" hidden="false" customHeight="false" outlineLevel="0" collapsed="false">
      <c r="A73" s="6" t="s">
        <v>270</v>
      </c>
      <c r="B73" s="6" t="s">
        <v>271</v>
      </c>
      <c r="C73" s="6" t="s">
        <v>73</v>
      </c>
      <c r="D73" s="6" t="s">
        <v>82</v>
      </c>
      <c r="E73" s="6" t="s">
        <v>127</v>
      </c>
      <c r="F73" s="9" t="n">
        <v>46040</v>
      </c>
      <c r="G73" s="9" t="n">
        <v>46405</v>
      </c>
      <c r="H73" s="8" t="n">
        <f aca="false">G73-'LEIA-ME'!$B$4</f>
        <v>94</v>
      </c>
      <c r="I73" s="6" t="str">
        <f aca="false">IF(H73&lt;0,"Vencido",IF(H73&lt;=30,"Vence em até 30 dias",IF(H73&lt;=60,"Vence em até 60 dias","Válido")))</f>
        <v>Válido</v>
      </c>
    </row>
    <row r="74" customFormat="false" ht="15" hidden="false" customHeight="false" outlineLevel="0" collapsed="false">
      <c r="A74" s="6" t="s">
        <v>272</v>
      </c>
      <c r="B74" s="6" t="s">
        <v>273</v>
      </c>
      <c r="C74" s="6" t="s">
        <v>77</v>
      </c>
      <c r="D74" s="6" t="s">
        <v>83</v>
      </c>
      <c r="E74" s="6" t="s">
        <v>127</v>
      </c>
      <c r="F74" s="9" t="n">
        <v>45894</v>
      </c>
      <c r="G74" s="9" t="n">
        <v>46259</v>
      </c>
      <c r="H74" s="8" t="n">
        <f aca="false">G74-'LEIA-ME'!$B$4</f>
        <v>-52</v>
      </c>
      <c r="I74" s="6" t="str">
        <f aca="false">IF(H74&lt;0,"Vencido",IF(H74&lt;=30,"Vence em até 30 dias",IF(H74&lt;=60,"Vence em até 60 dias","Válido")))</f>
        <v>Vencido</v>
      </c>
    </row>
    <row r="75" customFormat="false" ht="15" hidden="false" customHeight="false" outlineLevel="0" collapsed="false">
      <c r="A75" s="6" t="s">
        <v>274</v>
      </c>
      <c r="B75" s="6" t="s">
        <v>275</v>
      </c>
      <c r="C75" s="6" t="s">
        <v>77</v>
      </c>
      <c r="D75" s="6" t="s">
        <v>85</v>
      </c>
      <c r="E75" s="6" t="s">
        <v>151</v>
      </c>
      <c r="F75" s="9" t="n">
        <v>46257</v>
      </c>
      <c r="G75" s="9" t="n">
        <v>46622</v>
      </c>
      <c r="H75" s="8" t="n">
        <f aca="false">G75-'LEIA-ME'!$B$4</f>
        <v>311</v>
      </c>
      <c r="I75" s="6" t="str">
        <f aca="false">IF(H75&lt;0,"Vencido",IF(H75&lt;=30,"Vence em até 30 dias",IF(H75&lt;=60,"Vence em até 60 dias","Válido")))</f>
        <v>Válido</v>
      </c>
    </row>
    <row r="76" customFormat="false" ht="15" hidden="false" customHeight="false" outlineLevel="0" collapsed="false">
      <c r="A76" s="6" t="s">
        <v>276</v>
      </c>
      <c r="B76" s="6" t="s">
        <v>277</v>
      </c>
      <c r="C76" s="6" t="s">
        <v>77</v>
      </c>
      <c r="D76" s="6" t="s">
        <v>84</v>
      </c>
      <c r="E76" s="6" t="s">
        <v>82</v>
      </c>
      <c r="F76" s="9" t="n">
        <v>46009</v>
      </c>
      <c r="G76" s="9" t="n">
        <v>46374</v>
      </c>
      <c r="H76" s="8" t="n">
        <f aca="false">G76-'LEIA-ME'!$B$4</f>
        <v>63</v>
      </c>
      <c r="I76" s="6" t="str">
        <f aca="false">IF(H76&lt;0,"Vencido",IF(H76&lt;=30,"Vence em até 30 dias",IF(H76&lt;=60,"Vence em até 60 dias","Válido")))</f>
        <v>Válido</v>
      </c>
    </row>
    <row r="77" customFormat="false" ht="15" hidden="false" customHeight="false" outlineLevel="0" collapsed="false">
      <c r="A77" s="6" t="s">
        <v>278</v>
      </c>
      <c r="B77" s="6" t="s">
        <v>279</v>
      </c>
      <c r="C77" s="6" t="s">
        <v>77</v>
      </c>
      <c r="D77" s="6" t="s">
        <v>87</v>
      </c>
      <c r="E77" s="6" t="s">
        <v>151</v>
      </c>
      <c r="F77" s="9" t="n">
        <v>45949</v>
      </c>
      <c r="G77" s="9" t="n">
        <v>46314</v>
      </c>
      <c r="H77" s="8" t="n">
        <f aca="false">G77-'LEIA-ME'!$B$4</f>
        <v>3</v>
      </c>
      <c r="I77" s="6" t="str">
        <f aca="false">IF(H77&lt;0,"Vencido",IF(H77&lt;=30,"Vence em até 30 dias",IF(H77&lt;=60,"Vence em até 60 dias","Válido")))</f>
        <v>Vence em até 30 dias</v>
      </c>
    </row>
    <row r="78" customFormat="false" ht="15" hidden="false" customHeight="false" outlineLevel="0" collapsed="false">
      <c r="A78" s="6" t="s">
        <v>280</v>
      </c>
      <c r="B78" s="6" t="s">
        <v>281</v>
      </c>
      <c r="C78" s="6" t="s">
        <v>77</v>
      </c>
      <c r="D78" s="6" t="s">
        <v>87</v>
      </c>
      <c r="E78" s="6" t="s">
        <v>151</v>
      </c>
      <c r="F78" s="9" t="n">
        <v>45995</v>
      </c>
      <c r="G78" s="9" t="n">
        <v>46360</v>
      </c>
      <c r="H78" s="8" t="n">
        <f aca="false">G78-'LEIA-ME'!$B$4</f>
        <v>49</v>
      </c>
      <c r="I78" s="6" t="str">
        <f aca="false">IF(H78&lt;0,"Vencido",IF(H78&lt;=30,"Vence em até 30 dias",IF(H78&lt;=60,"Vence em até 60 dias","Válido")))</f>
        <v>Vence em até 60 dias</v>
      </c>
    </row>
    <row r="79" customFormat="false" ht="15" hidden="false" customHeight="false" outlineLevel="0" collapsed="false">
      <c r="A79" s="6" t="s">
        <v>282</v>
      </c>
      <c r="B79" s="6" t="s">
        <v>283</v>
      </c>
      <c r="C79" s="6" t="s">
        <v>77</v>
      </c>
      <c r="D79" s="6" t="s">
        <v>84</v>
      </c>
      <c r="E79" s="6" t="s">
        <v>130</v>
      </c>
      <c r="F79" s="9" t="n">
        <v>46308</v>
      </c>
      <c r="G79" s="9" t="n">
        <v>46673</v>
      </c>
      <c r="H79" s="8" t="n">
        <f aca="false">G79-'LEIA-ME'!$B$4</f>
        <v>362</v>
      </c>
      <c r="I79" s="6" t="str">
        <f aca="false">IF(H79&lt;0,"Vencido",IF(H79&lt;=30,"Vence em até 30 dias",IF(H79&lt;=60,"Vence em até 60 dias","Válido")))</f>
        <v>Válido</v>
      </c>
    </row>
    <row r="80" customFormat="false" ht="15" hidden="false" customHeight="false" outlineLevel="0" collapsed="false">
      <c r="A80" s="6" t="s">
        <v>284</v>
      </c>
      <c r="B80" s="6" t="s">
        <v>285</v>
      </c>
      <c r="C80" s="6" t="s">
        <v>77</v>
      </c>
      <c r="D80" s="6" t="s">
        <v>86</v>
      </c>
      <c r="E80" s="6" t="s">
        <v>130</v>
      </c>
      <c r="F80" s="9" t="n">
        <v>46180</v>
      </c>
      <c r="G80" s="9" t="n">
        <v>46545</v>
      </c>
      <c r="H80" s="8" t="n">
        <f aca="false">G80-'LEIA-ME'!$B$4</f>
        <v>234</v>
      </c>
      <c r="I80" s="6" t="str">
        <f aca="false">IF(H80&lt;0,"Vencido",IF(H80&lt;=30,"Vence em até 30 dias",IF(H80&lt;=60,"Vence em até 60 dias","Válido")))</f>
        <v>Válido</v>
      </c>
    </row>
    <row r="81" customFormat="false" ht="15" hidden="false" customHeight="false" outlineLevel="0" collapsed="false">
      <c r="A81" s="6" t="s">
        <v>286</v>
      </c>
      <c r="B81" s="6" t="s">
        <v>287</v>
      </c>
      <c r="C81" s="6" t="s">
        <v>77</v>
      </c>
      <c r="D81" s="6" t="s">
        <v>82</v>
      </c>
      <c r="E81" s="6" t="s">
        <v>127</v>
      </c>
      <c r="F81" s="9" t="n">
        <v>46041</v>
      </c>
      <c r="G81" s="9" t="n">
        <v>46406</v>
      </c>
      <c r="H81" s="8" t="n">
        <f aca="false">G81-'LEIA-ME'!$B$4</f>
        <v>95</v>
      </c>
      <c r="I81" s="6" t="str">
        <f aca="false">IF(H81&lt;0,"Vencido",IF(H81&lt;=30,"Vence em até 30 dias",IF(H81&lt;=60,"Vence em até 60 dias","Válido")))</f>
        <v>Válido</v>
      </c>
    </row>
    <row r="82" customFormat="false" ht="15" hidden="false" customHeight="false" outlineLevel="0" collapsed="false">
      <c r="A82" s="6" t="s">
        <v>288</v>
      </c>
      <c r="B82" s="6" t="s">
        <v>289</v>
      </c>
      <c r="C82" s="6" t="s">
        <v>77</v>
      </c>
      <c r="D82" s="6" t="s">
        <v>86</v>
      </c>
      <c r="E82" s="6" t="s">
        <v>82</v>
      </c>
      <c r="F82" s="9" t="n">
        <v>46256</v>
      </c>
      <c r="G82" s="9" t="n">
        <v>46621</v>
      </c>
      <c r="H82" s="8" t="n">
        <f aca="false">G82-'LEIA-ME'!$B$4</f>
        <v>310</v>
      </c>
      <c r="I82" s="6" t="str">
        <f aca="false">IF(H82&lt;0,"Vencido",IF(H82&lt;=30,"Vence em até 30 dias",IF(H82&lt;=60,"Vence em até 60 dias","Válido")))</f>
        <v>Válido</v>
      </c>
    </row>
    <row r="83" customFormat="false" ht="15" hidden="false" customHeight="false" outlineLevel="0" collapsed="false">
      <c r="A83" s="6" t="s">
        <v>290</v>
      </c>
      <c r="B83" s="6" t="s">
        <v>291</v>
      </c>
      <c r="C83" s="6" t="s">
        <v>77</v>
      </c>
      <c r="D83" s="6" t="s">
        <v>85</v>
      </c>
      <c r="E83" s="6" t="s">
        <v>151</v>
      </c>
      <c r="F83" s="9" t="n">
        <v>46137</v>
      </c>
      <c r="G83" s="9" t="n">
        <v>46502</v>
      </c>
      <c r="H83" s="8" t="n">
        <f aca="false">G83-'LEIA-ME'!$B$4</f>
        <v>191</v>
      </c>
      <c r="I83" s="6" t="str">
        <f aca="false">IF(H83&lt;0,"Vencido",IF(H83&lt;=30,"Vence em até 30 dias",IF(H83&lt;=60,"Vence em até 60 dias","Válido")))</f>
        <v>Válido</v>
      </c>
    </row>
    <row r="84" customFormat="false" ht="15" hidden="false" customHeight="false" outlineLevel="0" collapsed="false">
      <c r="A84" s="6" t="s">
        <v>292</v>
      </c>
      <c r="B84" s="6" t="s">
        <v>293</v>
      </c>
      <c r="C84" s="6" t="s">
        <v>77</v>
      </c>
      <c r="D84" s="6" t="s">
        <v>87</v>
      </c>
      <c r="E84" s="6" t="s">
        <v>82</v>
      </c>
      <c r="F84" s="9" t="n">
        <v>46129</v>
      </c>
      <c r="G84" s="9" t="n">
        <v>46494</v>
      </c>
      <c r="H84" s="8" t="n">
        <f aca="false">G84-'LEIA-ME'!$B$4</f>
        <v>183</v>
      </c>
      <c r="I84" s="6" t="str">
        <f aca="false">IF(H84&lt;0,"Vencido",IF(H84&lt;=30,"Vence em até 30 dias",IF(H84&lt;=60,"Vence em até 60 dias","Válido")))</f>
        <v>Válido</v>
      </c>
    </row>
    <row r="85" customFormat="false" ht="15" hidden="false" customHeight="false" outlineLevel="0" collapsed="false">
      <c r="A85" s="6" t="s">
        <v>294</v>
      </c>
      <c r="B85" s="6" t="s">
        <v>295</v>
      </c>
      <c r="C85" s="6" t="s">
        <v>77</v>
      </c>
      <c r="D85" s="6" t="s">
        <v>84</v>
      </c>
      <c r="E85" s="6" t="s">
        <v>82</v>
      </c>
      <c r="F85" s="9" t="n">
        <v>46244</v>
      </c>
      <c r="G85" s="9" t="n">
        <v>46609</v>
      </c>
      <c r="H85" s="8" t="n">
        <f aca="false">G85-'LEIA-ME'!$B$4</f>
        <v>298</v>
      </c>
      <c r="I85" s="6" t="str">
        <f aca="false">IF(H85&lt;0,"Vencido",IF(H85&lt;=30,"Vence em até 30 dias",IF(H85&lt;=60,"Vence em até 60 dias","Válido")))</f>
        <v>Válido</v>
      </c>
    </row>
    <row r="86" customFormat="false" ht="15" hidden="false" customHeight="false" outlineLevel="0" collapsed="false">
      <c r="A86" s="6" t="s">
        <v>296</v>
      </c>
      <c r="B86" s="6" t="s">
        <v>297</v>
      </c>
      <c r="C86" s="6" t="s">
        <v>77</v>
      </c>
      <c r="D86" s="6" t="s">
        <v>86</v>
      </c>
      <c r="E86" s="6" t="s">
        <v>82</v>
      </c>
      <c r="F86" s="9" t="n">
        <v>46115</v>
      </c>
      <c r="G86" s="9" t="n">
        <v>46480</v>
      </c>
      <c r="H86" s="8" t="n">
        <f aca="false">G86-'LEIA-ME'!$B$4</f>
        <v>169</v>
      </c>
      <c r="I86" s="6" t="str">
        <f aca="false">IF(H86&lt;0,"Vencido",IF(H86&lt;=30,"Vence em até 30 dias",IF(H86&lt;=60,"Vence em até 60 dias","Válido")))</f>
        <v>Válido</v>
      </c>
    </row>
    <row r="87" customFormat="false" ht="15" hidden="false" customHeight="false" outlineLevel="0" collapsed="false">
      <c r="A87" s="6" t="s">
        <v>298</v>
      </c>
      <c r="B87" s="6" t="s">
        <v>299</v>
      </c>
      <c r="C87" s="6" t="s">
        <v>77</v>
      </c>
      <c r="D87" s="6" t="s">
        <v>85</v>
      </c>
      <c r="E87" s="6" t="s">
        <v>82</v>
      </c>
      <c r="F87" s="9" t="n">
        <v>46035</v>
      </c>
      <c r="G87" s="9" t="n">
        <v>46400</v>
      </c>
      <c r="H87" s="8" t="n">
        <f aca="false">G87-'LEIA-ME'!$B$4</f>
        <v>89</v>
      </c>
      <c r="I87" s="6" t="str">
        <f aca="false">IF(H87&lt;0,"Vencido",IF(H87&lt;=30,"Vence em até 30 dias",IF(H87&lt;=60,"Vence em até 60 dias","Válido")))</f>
        <v>Válido</v>
      </c>
    </row>
    <row r="88" customFormat="false" ht="15" hidden="false" customHeight="false" outlineLevel="0" collapsed="false">
      <c r="A88" s="6" t="s">
        <v>300</v>
      </c>
      <c r="B88" s="6" t="s">
        <v>301</v>
      </c>
      <c r="C88" s="6" t="s">
        <v>77</v>
      </c>
      <c r="D88" s="6" t="s">
        <v>87</v>
      </c>
      <c r="E88" s="6" t="s">
        <v>151</v>
      </c>
      <c r="F88" s="9" t="n">
        <v>46177</v>
      </c>
      <c r="G88" s="9" t="n">
        <v>46542</v>
      </c>
      <c r="H88" s="8" t="n">
        <f aca="false">G88-'LEIA-ME'!$B$4</f>
        <v>231</v>
      </c>
      <c r="I88" s="6" t="str">
        <f aca="false">IF(H88&lt;0,"Vencido",IF(H88&lt;=30,"Vence em até 30 dias",IF(H88&lt;=60,"Vence em até 60 dias","Válido")))</f>
        <v>Válido</v>
      </c>
    </row>
    <row r="89" customFormat="false" ht="15" hidden="false" customHeight="false" outlineLevel="0" collapsed="false">
      <c r="A89" s="6" t="s">
        <v>302</v>
      </c>
      <c r="B89" s="6" t="s">
        <v>303</v>
      </c>
      <c r="C89" s="6" t="s">
        <v>77</v>
      </c>
      <c r="D89" s="6" t="s">
        <v>87</v>
      </c>
      <c r="E89" s="6" t="s">
        <v>82</v>
      </c>
      <c r="F89" s="9" t="n">
        <v>45952</v>
      </c>
      <c r="G89" s="9" t="n">
        <v>46317</v>
      </c>
      <c r="H89" s="8" t="n">
        <f aca="false">G89-'LEIA-ME'!$B$4</f>
        <v>6</v>
      </c>
      <c r="I89" s="6" t="str">
        <f aca="false">IF(H89&lt;0,"Vencido",IF(H89&lt;=30,"Vence em até 30 dias",IF(H89&lt;=60,"Vence em até 60 dias","Válido")))</f>
        <v>Vence em até 30 dias</v>
      </c>
    </row>
    <row r="90" customFormat="false" ht="15" hidden="false" customHeight="false" outlineLevel="0" collapsed="false">
      <c r="A90" s="6" t="s">
        <v>304</v>
      </c>
      <c r="B90" s="6" t="s">
        <v>305</v>
      </c>
      <c r="C90" s="6" t="s">
        <v>77</v>
      </c>
      <c r="D90" s="6" t="s">
        <v>84</v>
      </c>
      <c r="E90" s="6" t="s">
        <v>151</v>
      </c>
      <c r="F90" s="9" t="n">
        <v>45919</v>
      </c>
      <c r="G90" s="9" t="n">
        <v>46284</v>
      </c>
      <c r="H90" s="8" t="n">
        <f aca="false">G90-'LEIA-ME'!$B$4</f>
        <v>-27</v>
      </c>
      <c r="I90" s="6" t="str">
        <f aca="false">IF(H90&lt;0,"Vencido",IF(H90&lt;=30,"Vence em até 30 dias",IF(H90&lt;=60,"Vence em até 60 dias","Válido")))</f>
        <v>Vencido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7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3" t="s">
        <v>306</v>
      </c>
      <c r="B1" s="3" t="s">
        <v>307</v>
      </c>
      <c r="C1" s="3" t="s">
        <v>308</v>
      </c>
      <c r="D1" s="3" t="s">
        <v>309</v>
      </c>
      <c r="E1" s="3" t="s">
        <v>56</v>
      </c>
      <c r="F1" s="3" t="s">
        <v>310</v>
      </c>
      <c r="G1" s="3" t="s">
        <v>122</v>
      </c>
      <c r="H1" s="3" t="s">
        <v>123</v>
      </c>
      <c r="I1" s="3" t="s">
        <v>124</v>
      </c>
    </row>
    <row r="2" customFormat="false" ht="15" hidden="false" customHeight="false" outlineLevel="0" collapsed="false">
      <c r="A2" s="6" t="s">
        <v>311</v>
      </c>
      <c r="B2" s="6" t="s">
        <v>312</v>
      </c>
      <c r="C2" s="6" t="s">
        <v>313</v>
      </c>
      <c r="D2" s="6" t="s">
        <v>314</v>
      </c>
      <c r="E2" s="6" t="s">
        <v>64</v>
      </c>
      <c r="F2" s="8" t="n">
        <v>1</v>
      </c>
      <c r="G2" s="9" t="n">
        <v>46528</v>
      </c>
      <c r="H2" s="8" t="n">
        <f aca="false">G2-'LEIA-ME'!$B$4</f>
        <v>217</v>
      </c>
      <c r="I2" s="6" t="str">
        <f aca="false">IF(H2&lt;0,"Vencido",IF(H2&lt;=30,"Até 30 dias",IF(H2&lt;=90,"31 a 90 dias","Em dia")))</f>
        <v>Em dia</v>
      </c>
    </row>
    <row r="3" customFormat="false" ht="15" hidden="false" customHeight="false" outlineLevel="0" collapsed="false">
      <c r="A3" s="6" t="s">
        <v>315</v>
      </c>
      <c r="B3" s="6" t="s">
        <v>312</v>
      </c>
      <c r="C3" s="6" t="s">
        <v>313</v>
      </c>
      <c r="D3" s="6" t="s">
        <v>316</v>
      </c>
      <c r="E3" s="6" t="s">
        <v>64</v>
      </c>
      <c r="F3" s="8" t="n">
        <v>1</v>
      </c>
      <c r="G3" s="9" t="n">
        <v>46575</v>
      </c>
      <c r="H3" s="8" t="n">
        <f aca="false">G3-'LEIA-ME'!$B$4</f>
        <v>264</v>
      </c>
      <c r="I3" s="6" t="str">
        <f aca="false">IF(H3&lt;0,"Vencido",IF(H3&lt;=30,"Até 30 dias",IF(H3&lt;=90,"31 a 90 dias","Em dia")))</f>
        <v>Em dia</v>
      </c>
    </row>
    <row r="4" customFormat="false" ht="15" hidden="false" customHeight="false" outlineLevel="0" collapsed="false">
      <c r="A4" s="6" t="s">
        <v>317</v>
      </c>
      <c r="B4" s="6" t="s">
        <v>318</v>
      </c>
      <c r="C4" s="6" t="s">
        <v>313</v>
      </c>
      <c r="D4" s="6" t="s">
        <v>319</v>
      </c>
      <c r="E4" s="6" t="s">
        <v>64</v>
      </c>
      <c r="F4" s="8" t="n">
        <v>1</v>
      </c>
      <c r="G4" s="9" t="n">
        <v>46654</v>
      </c>
      <c r="H4" s="8" t="n">
        <f aca="false">G4-'LEIA-ME'!$B$4</f>
        <v>343</v>
      </c>
      <c r="I4" s="6" t="str">
        <f aca="false">IF(H4&lt;0,"Vencido",IF(H4&lt;=30,"Até 30 dias",IF(H4&lt;=90,"31 a 90 dias","Em dia")))</f>
        <v>Em dia</v>
      </c>
    </row>
    <row r="5" customFormat="false" ht="15" hidden="false" customHeight="false" outlineLevel="0" collapsed="false">
      <c r="A5" s="6" t="s">
        <v>320</v>
      </c>
      <c r="B5" s="6" t="s">
        <v>321</v>
      </c>
      <c r="C5" s="6" t="s">
        <v>313</v>
      </c>
      <c r="D5" s="6" t="s">
        <v>322</v>
      </c>
      <c r="E5" s="6" t="s">
        <v>64</v>
      </c>
      <c r="F5" s="8" t="n">
        <v>1</v>
      </c>
      <c r="G5" s="9" t="n">
        <v>46495</v>
      </c>
      <c r="H5" s="8" t="n">
        <f aca="false">G5-'LEIA-ME'!$B$4</f>
        <v>184</v>
      </c>
      <c r="I5" s="6" t="str">
        <f aca="false">IF(H5&lt;0,"Vencido",IF(H5&lt;=30,"Até 30 dias",IF(H5&lt;=90,"31 a 90 dias","Em dia")))</f>
        <v>Em dia</v>
      </c>
    </row>
    <row r="6" customFormat="false" ht="15" hidden="false" customHeight="false" outlineLevel="0" collapsed="false">
      <c r="A6" s="6" t="s">
        <v>323</v>
      </c>
      <c r="B6" s="6" t="s">
        <v>321</v>
      </c>
      <c r="C6" s="6" t="s">
        <v>313</v>
      </c>
      <c r="D6" s="6" t="s">
        <v>324</v>
      </c>
      <c r="E6" s="6" t="s">
        <v>64</v>
      </c>
      <c r="F6" s="8" t="n">
        <v>1</v>
      </c>
      <c r="G6" s="9" t="n">
        <v>46294</v>
      </c>
      <c r="H6" s="8" t="n">
        <f aca="false">G6-'LEIA-ME'!$B$4</f>
        <v>-17</v>
      </c>
      <c r="I6" s="6" t="str">
        <f aca="false">IF(H6&lt;0,"Vencido",IF(H6&lt;=30,"Até 30 dias",IF(H6&lt;=90,"31 a 90 dias","Em dia")))</f>
        <v>Vencido</v>
      </c>
    </row>
    <row r="7" customFormat="false" ht="15" hidden="false" customHeight="false" outlineLevel="0" collapsed="false">
      <c r="A7" s="6" t="s">
        <v>325</v>
      </c>
      <c r="B7" s="6" t="s">
        <v>321</v>
      </c>
      <c r="C7" s="6" t="s">
        <v>313</v>
      </c>
      <c r="D7" s="6" t="s">
        <v>319</v>
      </c>
      <c r="E7" s="6" t="s">
        <v>64</v>
      </c>
      <c r="F7" s="8" t="n">
        <v>1</v>
      </c>
      <c r="G7" s="9" t="n">
        <v>46453</v>
      </c>
      <c r="H7" s="8" t="n">
        <f aca="false">G7-'LEIA-ME'!$B$4</f>
        <v>142</v>
      </c>
      <c r="I7" s="6" t="str">
        <f aca="false">IF(H7&lt;0,"Vencido",IF(H7&lt;=30,"Até 30 dias",IF(H7&lt;=90,"31 a 90 dias","Em dia")))</f>
        <v>Em dia</v>
      </c>
    </row>
    <row r="8" customFormat="false" ht="15" hidden="false" customHeight="false" outlineLevel="0" collapsed="false">
      <c r="A8" s="6" t="s">
        <v>326</v>
      </c>
      <c r="B8" s="6" t="s">
        <v>327</v>
      </c>
      <c r="C8" s="6" t="s">
        <v>328</v>
      </c>
      <c r="D8" s="6" t="s">
        <v>324</v>
      </c>
      <c r="E8" s="6" t="s">
        <v>64</v>
      </c>
      <c r="F8" s="8" t="n">
        <v>1</v>
      </c>
      <c r="G8" s="9" t="n">
        <v>46507</v>
      </c>
      <c r="H8" s="8" t="n">
        <f aca="false">G8-'LEIA-ME'!$B$4</f>
        <v>196</v>
      </c>
      <c r="I8" s="6" t="str">
        <f aca="false">IF(H8&lt;0,"Vencido",IF(H8&lt;=30,"Até 30 dias",IF(H8&lt;=90,"31 a 90 dias","Em dia")))</f>
        <v>Em dia</v>
      </c>
    </row>
    <row r="9" customFormat="false" ht="15" hidden="false" customHeight="false" outlineLevel="0" collapsed="false">
      <c r="A9" s="6" t="s">
        <v>329</v>
      </c>
      <c r="B9" s="6" t="s">
        <v>330</v>
      </c>
      <c r="C9" s="6" t="s">
        <v>331</v>
      </c>
      <c r="D9" s="6" t="s">
        <v>314</v>
      </c>
      <c r="E9" s="6" t="s">
        <v>64</v>
      </c>
      <c r="F9" s="8" t="n">
        <v>250</v>
      </c>
      <c r="G9" s="9" t="n">
        <v>46630</v>
      </c>
      <c r="H9" s="8" t="n">
        <f aca="false">G9-'LEIA-ME'!$B$4</f>
        <v>319</v>
      </c>
      <c r="I9" s="6" t="str">
        <f aca="false">IF(H9&lt;0,"Vencido",IF(H9&lt;=30,"Até 30 dias",IF(H9&lt;=90,"31 a 90 dias","Em dia")))</f>
        <v>Em dia</v>
      </c>
    </row>
    <row r="10" customFormat="false" ht="15" hidden="false" customHeight="false" outlineLevel="0" collapsed="false">
      <c r="A10" s="6" t="s">
        <v>332</v>
      </c>
      <c r="B10" s="6" t="s">
        <v>333</v>
      </c>
      <c r="C10" s="6" t="s">
        <v>331</v>
      </c>
      <c r="D10" s="6" t="s">
        <v>334</v>
      </c>
      <c r="E10" s="6" t="s">
        <v>64</v>
      </c>
      <c r="F10" s="8" t="n">
        <v>270</v>
      </c>
      <c r="G10" s="9" t="n">
        <v>46427</v>
      </c>
      <c r="H10" s="8" t="n">
        <f aca="false">G10-'LEIA-ME'!$B$4</f>
        <v>116</v>
      </c>
      <c r="I10" s="6" t="str">
        <f aca="false">IF(H10&lt;0,"Vencido",IF(H10&lt;=30,"Até 30 dias",IF(H10&lt;=90,"31 a 90 dias","Em dia")))</f>
        <v>Em dia</v>
      </c>
    </row>
    <row r="11" customFormat="false" ht="15" hidden="false" customHeight="false" outlineLevel="0" collapsed="false">
      <c r="A11" s="6" t="s">
        <v>335</v>
      </c>
      <c r="B11" s="6" t="s">
        <v>336</v>
      </c>
      <c r="C11" s="6" t="s">
        <v>331</v>
      </c>
      <c r="D11" s="6" t="s">
        <v>337</v>
      </c>
      <c r="E11" s="6" t="s">
        <v>64</v>
      </c>
      <c r="F11" s="8" t="n">
        <v>380</v>
      </c>
      <c r="G11" s="9" t="n">
        <v>46805</v>
      </c>
      <c r="H11" s="8" t="n">
        <f aca="false">G11-'LEIA-ME'!$B$4</f>
        <v>494</v>
      </c>
      <c r="I11" s="6" t="str">
        <f aca="false">IF(H11&lt;0,"Vencido",IF(H11&lt;=30,"Até 30 dias",IF(H11&lt;=90,"31 a 90 dias","Em dia")))</f>
        <v>Em dia</v>
      </c>
    </row>
    <row r="12" customFormat="false" ht="15" hidden="false" customHeight="false" outlineLevel="0" collapsed="false">
      <c r="A12" s="6" t="s">
        <v>338</v>
      </c>
      <c r="B12" s="6" t="s">
        <v>339</v>
      </c>
      <c r="C12" s="6" t="s">
        <v>331</v>
      </c>
      <c r="D12" s="6" t="s">
        <v>337</v>
      </c>
      <c r="E12" s="6" t="s">
        <v>64</v>
      </c>
      <c r="F12" s="8" t="n">
        <v>80</v>
      </c>
      <c r="G12" s="9" t="n">
        <v>46378</v>
      </c>
      <c r="H12" s="8" t="n">
        <f aca="false">G12-'LEIA-ME'!$B$4</f>
        <v>67</v>
      </c>
      <c r="I12" s="6" t="str">
        <f aca="false">IF(H12&lt;0,"Vencido",IF(H12&lt;=30,"Até 30 dias",IF(H12&lt;=90,"31 a 90 dias","Em dia")))</f>
        <v>31 a 90 dias</v>
      </c>
    </row>
    <row r="13" customFormat="false" ht="15" hidden="false" customHeight="false" outlineLevel="0" collapsed="false">
      <c r="A13" s="6" t="s">
        <v>340</v>
      </c>
      <c r="B13" s="6" t="s">
        <v>341</v>
      </c>
      <c r="C13" s="6" t="s">
        <v>331</v>
      </c>
      <c r="D13" s="6" t="s">
        <v>337</v>
      </c>
      <c r="E13" s="6" t="s">
        <v>64</v>
      </c>
      <c r="F13" s="8" t="n">
        <v>280</v>
      </c>
      <c r="G13" s="9" t="n">
        <v>46338</v>
      </c>
      <c r="H13" s="8" t="n">
        <f aca="false">G13-'LEIA-ME'!$B$4</f>
        <v>27</v>
      </c>
      <c r="I13" s="6" t="str">
        <f aca="false">IF(H13&lt;0,"Vencido",IF(H13&lt;=30,"Até 30 dias",IF(H13&lt;=90,"31 a 90 dias","Em dia")))</f>
        <v>Até 30 dias</v>
      </c>
    </row>
    <row r="14" customFormat="false" ht="15" hidden="false" customHeight="false" outlineLevel="0" collapsed="false">
      <c r="A14" s="6" t="s">
        <v>342</v>
      </c>
      <c r="B14" s="6" t="s">
        <v>343</v>
      </c>
      <c r="C14" s="6" t="s">
        <v>331</v>
      </c>
      <c r="D14" s="6" t="s">
        <v>322</v>
      </c>
      <c r="E14" s="6" t="s">
        <v>64</v>
      </c>
      <c r="F14" s="8" t="n">
        <v>120</v>
      </c>
      <c r="G14" s="9" t="n">
        <v>46401</v>
      </c>
      <c r="H14" s="8" t="n">
        <f aca="false">G14-'LEIA-ME'!$B$4</f>
        <v>90</v>
      </c>
      <c r="I14" s="6" t="str">
        <f aca="false">IF(H14&lt;0,"Vencido",IF(H14&lt;=30,"Até 30 dias",IF(H14&lt;=90,"31 a 90 dias","Em dia")))</f>
        <v>31 a 90 dias</v>
      </c>
    </row>
    <row r="15" customFormat="false" ht="15" hidden="false" customHeight="false" outlineLevel="0" collapsed="false">
      <c r="A15" s="6" t="s">
        <v>344</v>
      </c>
      <c r="B15" s="6" t="s">
        <v>345</v>
      </c>
      <c r="C15" s="6" t="s">
        <v>346</v>
      </c>
      <c r="D15" s="6" t="s">
        <v>324</v>
      </c>
      <c r="E15" s="6" t="s">
        <v>64</v>
      </c>
      <c r="F15" s="8" t="n">
        <v>3</v>
      </c>
      <c r="G15" s="9" t="n">
        <v>46527</v>
      </c>
      <c r="H15" s="8" t="n">
        <f aca="false">G15-'LEIA-ME'!$B$4</f>
        <v>216</v>
      </c>
      <c r="I15" s="6" t="str">
        <f aca="false">IF(H15&lt;0,"Vencido",IF(H15&lt;=30,"Até 30 dias",IF(H15&lt;=90,"31 a 90 dias","Em dia")))</f>
        <v>Em dia</v>
      </c>
    </row>
    <row r="16" customFormat="false" ht="15" hidden="false" customHeight="false" outlineLevel="0" collapsed="false">
      <c r="A16" s="6" t="s">
        <v>347</v>
      </c>
      <c r="B16" s="6" t="s">
        <v>348</v>
      </c>
      <c r="C16" s="6" t="s">
        <v>346</v>
      </c>
      <c r="D16" s="6" t="s">
        <v>314</v>
      </c>
      <c r="E16" s="6" t="s">
        <v>64</v>
      </c>
      <c r="F16" s="8" t="n">
        <v>4</v>
      </c>
      <c r="G16" s="9" t="n">
        <v>46427</v>
      </c>
      <c r="H16" s="8" t="n">
        <f aca="false">G16-'LEIA-ME'!$B$4</f>
        <v>116</v>
      </c>
      <c r="I16" s="6" t="str">
        <f aca="false">IF(H16&lt;0,"Vencido",IF(H16&lt;=30,"Até 30 dias",IF(H16&lt;=90,"31 a 90 dias","Em dia")))</f>
        <v>Em dia</v>
      </c>
    </row>
    <row r="17" customFormat="false" ht="15" hidden="false" customHeight="false" outlineLevel="0" collapsed="false">
      <c r="A17" s="6" t="s">
        <v>349</v>
      </c>
      <c r="B17" s="6" t="s">
        <v>350</v>
      </c>
      <c r="C17" s="6" t="s">
        <v>351</v>
      </c>
      <c r="D17" s="6" t="s">
        <v>319</v>
      </c>
      <c r="E17" s="6" t="s">
        <v>64</v>
      </c>
      <c r="F17" s="8" t="n">
        <v>1</v>
      </c>
      <c r="G17" s="9" t="n">
        <v>46343</v>
      </c>
      <c r="H17" s="8" t="n">
        <f aca="false">G17-'LEIA-ME'!$B$4</f>
        <v>32</v>
      </c>
      <c r="I17" s="6" t="str">
        <f aca="false">IF(H17&lt;0,"Vencido",IF(H17&lt;=30,"Até 30 dias",IF(H17&lt;=90,"31 a 90 dias","Em dia")))</f>
        <v>31 a 90 dias</v>
      </c>
    </row>
    <row r="18" customFormat="false" ht="15" hidden="false" customHeight="false" outlineLevel="0" collapsed="false">
      <c r="A18" s="6" t="s">
        <v>352</v>
      </c>
      <c r="B18" s="6" t="s">
        <v>353</v>
      </c>
      <c r="C18" s="6" t="s">
        <v>351</v>
      </c>
      <c r="D18" s="6" t="s">
        <v>324</v>
      </c>
      <c r="E18" s="6" t="s">
        <v>64</v>
      </c>
      <c r="F18" s="8" t="n">
        <v>1</v>
      </c>
      <c r="G18" s="9" t="n">
        <v>46536</v>
      </c>
      <c r="H18" s="8" t="n">
        <f aca="false">G18-'LEIA-ME'!$B$4</f>
        <v>225</v>
      </c>
      <c r="I18" s="6" t="str">
        <f aca="false">IF(H18&lt;0,"Vencido",IF(H18&lt;=30,"Até 30 dias",IF(H18&lt;=90,"31 a 90 dias","Em dia")))</f>
        <v>Em dia</v>
      </c>
    </row>
    <row r="19" customFormat="false" ht="15" hidden="false" customHeight="false" outlineLevel="0" collapsed="false">
      <c r="A19" s="6" t="s">
        <v>354</v>
      </c>
      <c r="B19" s="6" t="s">
        <v>312</v>
      </c>
      <c r="C19" s="6" t="s">
        <v>313</v>
      </c>
      <c r="D19" s="6" t="s">
        <v>324</v>
      </c>
      <c r="E19" s="6" t="s">
        <v>69</v>
      </c>
      <c r="F19" s="8" t="n">
        <v>1</v>
      </c>
      <c r="G19" s="9" t="n">
        <v>46397</v>
      </c>
      <c r="H19" s="8" t="n">
        <f aca="false">G19-'LEIA-ME'!$B$4</f>
        <v>86</v>
      </c>
      <c r="I19" s="6" t="str">
        <f aca="false">IF(H19&lt;0,"Vencido",IF(H19&lt;=30,"Até 30 dias",IF(H19&lt;=90,"31 a 90 dias","Em dia")))</f>
        <v>31 a 90 dias</v>
      </c>
    </row>
    <row r="20" customFormat="false" ht="15" hidden="false" customHeight="false" outlineLevel="0" collapsed="false">
      <c r="A20" s="6" t="s">
        <v>355</v>
      </c>
      <c r="B20" s="6" t="s">
        <v>312</v>
      </c>
      <c r="C20" s="6" t="s">
        <v>313</v>
      </c>
      <c r="D20" s="6" t="s">
        <v>316</v>
      </c>
      <c r="E20" s="6" t="s">
        <v>69</v>
      </c>
      <c r="F20" s="8" t="n">
        <v>1</v>
      </c>
      <c r="G20" s="9" t="n">
        <v>46364</v>
      </c>
      <c r="H20" s="8" t="n">
        <f aca="false">G20-'LEIA-ME'!$B$4</f>
        <v>53</v>
      </c>
      <c r="I20" s="6" t="str">
        <f aca="false">IF(H20&lt;0,"Vencido",IF(H20&lt;=30,"Até 30 dias",IF(H20&lt;=90,"31 a 90 dias","Em dia")))</f>
        <v>31 a 90 dias</v>
      </c>
    </row>
    <row r="21" customFormat="false" ht="15" hidden="false" customHeight="false" outlineLevel="0" collapsed="false">
      <c r="A21" s="6" t="s">
        <v>356</v>
      </c>
      <c r="B21" s="6" t="s">
        <v>318</v>
      </c>
      <c r="C21" s="6" t="s">
        <v>313</v>
      </c>
      <c r="D21" s="6" t="s">
        <v>357</v>
      </c>
      <c r="E21" s="6" t="s">
        <v>69</v>
      </c>
      <c r="F21" s="8" t="n">
        <v>1</v>
      </c>
      <c r="G21" s="9" t="n">
        <v>46403</v>
      </c>
      <c r="H21" s="8" t="n">
        <f aca="false">G21-'LEIA-ME'!$B$4</f>
        <v>92</v>
      </c>
      <c r="I21" s="6" t="str">
        <f aca="false">IF(H21&lt;0,"Vencido",IF(H21&lt;=30,"Até 30 dias",IF(H21&lt;=90,"31 a 90 dias","Em dia")))</f>
        <v>Em dia</v>
      </c>
    </row>
    <row r="22" customFormat="false" ht="15" hidden="false" customHeight="false" outlineLevel="0" collapsed="false">
      <c r="A22" s="6" t="s">
        <v>358</v>
      </c>
      <c r="B22" s="6" t="s">
        <v>318</v>
      </c>
      <c r="C22" s="6" t="s">
        <v>313</v>
      </c>
      <c r="D22" s="6" t="s">
        <v>337</v>
      </c>
      <c r="E22" s="6" t="s">
        <v>69</v>
      </c>
      <c r="F22" s="8" t="n">
        <v>1</v>
      </c>
      <c r="G22" s="9" t="n">
        <v>46570</v>
      </c>
      <c r="H22" s="8" t="n">
        <f aca="false">G22-'LEIA-ME'!$B$4</f>
        <v>259</v>
      </c>
      <c r="I22" s="6" t="str">
        <f aca="false">IF(H22&lt;0,"Vencido",IF(H22&lt;=30,"Até 30 dias",IF(H22&lt;=90,"31 a 90 dias","Em dia")))</f>
        <v>Em dia</v>
      </c>
    </row>
    <row r="23" customFormat="false" ht="15" hidden="false" customHeight="false" outlineLevel="0" collapsed="false">
      <c r="A23" s="6" t="s">
        <v>359</v>
      </c>
      <c r="B23" s="6" t="s">
        <v>321</v>
      </c>
      <c r="C23" s="6" t="s">
        <v>313</v>
      </c>
      <c r="D23" s="6" t="s">
        <v>314</v>
      </c>
      <c r="E23" s="6" t="s">
        <v>69</v>
      </c>
      <c r="F23" s="8" t="n">
        <v>1</v>
      </c>
      <c r="G23" s="9" t="n">
        <v>46581</v>
      </c>
      <c r="H23" s="8" t="n">
        <f aca="false">G23-'LEIA-ME'!$B$4</f>
        <v>270</v>
      </c>
      <c r="I23" s="6" t="str">
        <f aca="false">IF(H23&lt;0,"Vencido",IF(H23&lt;=30,"Até 30 dias",IF(H23&lt;=90,"31 a 90 dias","Em dia")))</f>
        <v>Em dia</v>
      </c>
    </row>
    <row r="24" customFormat="false" ht="15" hidden="false" customHeight="false" outlineLevel="0" collapsed="false">
      <c r="A24" s="6" t="s">
        <v>360</v>
      </c>
      <c r="B24" s="6" t="s">
        <v>321</v>
      </c>
      <c r="C24" s="6" t="s">
        <v>313</v>
      </c>
      <c r="D24" s="6" t="s">
        <v>316</v>
      </c>
      <c r="E24" s="6" t="s">
        <v>69</v>
      </c>
      <c r="F24" s="8" t="n">
        <v>1</v>
      </c>
      <c r="G24" s="9" t="n">
        <v>46535</v>
      </c>
      <c r="H24" s="8" t="n">
        <f aca="false">G24-'LEIA-ME'!$B$4</f>
        <v>224</v>
      </c>
      <c r="I24" s="6" t="str">
        <f aca="false">IF(H24&lt;0,"Vencido",IF(H24&lt;=30,"Até 30 dias",IF(H24&lt;=90,"31 a 90 dias","Em dia")))</f>
        <v>Em dia</v>
      </c>
    </row>
    <row r="25" customFormat="false" ht="15" hidden="false" customHeight="false" outlineLevel="0" collapsed="false">
      <c r="A25" s="6" t="s">
        <v>361</v>
      </c>
      <c r="B25" s="6" t="s">
        <v>327</v>
      </c>
      <c r="C25" s="6" t="s">
        <v>328</v>
      </c>
      <c r="D25" s="6" t="s">
        <v>316</v>
      </c>
      <c r="E25" s="6" t="s">
        <v>69</v>
      </c>
      <c r="F25" s="8" t="n">
        <v>1</v>
      </c>
      <c r="G25" s="9" t="n">
        <v>46658</v>
      </c>
      <c r="H25" s="8" t="n">
        <f aca="false">G25-'LEIA-ME'!$B$4</f>
        <v>347</v>
      </c>
      <c r="I25" s="6" t="str">
        <f aca="false">IF(H25&lt;0,"Vencido",IF(H25&lt;=30,"Até 30 dias",IF(H25&lt;=90,"31 a 90 dias","Em dia")))</f>
        <v>Em dia</v>
      </c>
    </row>
    <row r="26" customFormat="false" ht="15" hidden="false" customHeight="false" outlineLevel="0" collapsed="false">
      <c r="A26" s="6" t="s">
        <v>362</v>
      </c>
      <c r="B26" s="6" t="s">
        <v>330</v>
      </c>
      <c r="C26" s="6" t="s">
        <v>331</v>
      </c>
      <c r="D26" s="6" t="s">
        <v>319</v>
      </c>
      <c r="E26" s="6" t="s">
        <v>69</v>
      </c>
      <c r="F26" s="8" t="n">
        <v>60</v>
      </c>
      <c r="G26" s="9" t="n">
        <v>46333</v>
      </c>
      <c r="H26" s="8" t="n">
        <f aca="false">G26-'LEIA-ME'!$B$4</f>
        <v>22</v>
      </c>
      <c r="I26" s="6" t="str">
        <f aca="false">IF(H26&lt;0,"Vencido",IF(H26&lt;=30,"Até 30 dias",IF(H26&lt;=90,"31 a 90 dias","Em dia")))</f>
        <v>Até 30 dias</v>
      </c>
    </row>
    <row r="27" customFormat="false" ht="15" hidden="false" customHeight="false" outlineLevel="0" collapsed="false">
      <c r="A27" s="6" t="s">
        <v>363</v>
      </c>
      <c r="B27" s="6" t="s">
        <v>333</v>
      </c>
      <c r="C27" s="6" t="s">
        <v>331</v>
      </c>
      <c r="D27" s="6" t="s">
        <v>324</v>
      </c>
      <c r="E27" s="6" t="s">
        <v>69</v>
      </c>
      <c r="F27" s="8" t="n">
        <v>70</v>
      </c>
      <c r="G27" s="9" t="n">
        <v>46837</v>
      </c>
      <c r="H27" s="8" t="n">
        <f aca="false">G27-'LEIA-ME'!$B$4</f>
        <v>526</v>
      </c>
      <c r="I27" s="6" t="str">
        <f aca="false">IF(H27&lt;0,"Vencido",IF(H27&lt;=30,"Até 30 dias",IF(H27&lt;=90,"31 a 90 dias","Em dia")))</f>
        <v>Em dia</v>
      </c>
    </row>
    <row r="28" customFormat="false" ht="15" hidden="false" customHeight="false" outlineLevel="0" collapsed="false">
      <c r="A28" s="6" t="s">
        <v>364</v>
      </c>
      <c r="B28" s="6" t="s">
        <v>336</v>
      </c>
      <c r="C28" s="6" t="s">
        <v>331</v>
      </c>
      <c r="D28" s="6" t="s">
        <v>365</v>
      </c>
      <c r="E28" s="6" t="s">
        <v>69</v>
      </c>
      <c r="F28" s="8" t="n">
        <v>210</v>
      </c>
      <c r="G28" s="9" t="n">
        <v>46983</v>
      </c>
      <c r="H28" s="8" t="n">
        <f aca="false">G28-'LEIA-ME'!$B$4</f>
        <v>672</v>
      </c>
      <c r="I28" s="6" t="str">
        <f aca="false">IF(H28&lt;0,"Vencido",IF(H28&lt;=30,"Até 30 dias",IF(H28&lt;=90,"31 a 90 dias","Em dia")))</f>
        <v>Em dia</v>
      </c>
    </row>
    <row r="29" customFormat="false" ht="15" hidden="false" customHeight="false" outlineLevel="0" collapsed="false">
      <c r="A29" s="6" t="s">
        <v>366</v>
      </c>
      <c r="B29" s="6" t="s">
        <v>339</v>
      </c>
      <c r="C29" s="6" t="s">
        <v>331</v>
      </c>
      <c r="D29" s="6" t="s">
        <v>357</v>
      </c>
      <c r="E29" s="6" t="s">
        <v>69</v>
      </c>
      <c r="F29" s="8" t="n">
        <v>50</v>
      </c>
      <c r="G29" s="9" t="n">
        <v>46406</v>
      </c>
      <c r="H29" s="8" t="n">
        <f aca="false">G29-'LEIA-ME'!$B$4</f>
        <v>95</v>
      </c>
      <c r="I29" s="6" t="str">
        <f aca="false">IF(H29&lt;0,"Vencido",IF(H29&lt;=30,"Até 30 dias",IF(H29&lt;=90,"31 a 90 dias","Em dia")))</f>
        <v>Em dia</v>
      </c>
    </row>
    <row r="30" customFormat="false" ht="15" hidden="false" customHeight="false" outlineLevel="0" collapsed="false">
      <c r="A30" s="6" t="s">
        <v>367</v>
      </c>
      <c r="B30" s="6" t="s">
        <v>341</v>
      </c>
      <c r="C30" s="6" t="s">
        <v>331</v>
      </c>
      <c r="D30" s="6" t="s">
        <v>314</v>
      </c>
      <c r="E30" s="6" t="s">
        <v>69</v>
      </c>
      <c r="F30" s="8" t="n">
        <v>90</v>
      </c>
      <c r="G30" s="9" t="n">
        <v>46393</v>
      </c>
      <c r="H30" s="8" t="n">
        <f aca="false">G30-'LEIA-ME'!$B$4</f>
        <v>82</v>
      </c>
      <c r="I30" s="6" t="str">
        <f aca="false">IF(H30&lt;0,"Vencido",IF(H30&lt;=30,"Até 30 dias",IF(H30&lt;=90,"31 a 90 dias","Em dia")))</f>
        <v>31 a 90 dias</v>
      </c>
    </row>
    <row r="31" customFormat="false" ht="15" hidden="false" customHeight="false" outlineLevel="0" collapsed="false">
      <c r="A31" s="6" t="s">
        <v>368</v>
      </c>
      <c r="B31" s="6" t="s">
        <v>343</v>
      </c>
      <c r="C31" s="6" t="s">
        <v>331</v>
      </c>
      <c r="D31" s="6" t="s">
        <v>324</v>
      </c>
      <c r="E31" s="6" t="s">
        <v>69</v>
      </c>
      <c r="F31" s="8" t="n">
        <v>310</v>
      </c>
      <c r="G31" s="9" t="n">
        <v>46408</v>
      </c>
      <c r="H31" s="8" t="n">
        <f aca="false">G31-'LEIA-ME'!$B$4</f>
        <v>97</v>
      </c>
      <c r="I31" s="6" t="str">
        <f aca="false">IF(H31&lt;0,"Vencido",IF(H31&lt;=30,"Até 30 dias",IF(H31&lt;=90,"31 a 90 dias","Em dia")))</f>
        <v>Em dia</v>
      </c>
    </row>
    <row r="32" customFormat="false" ht="15" hidden="false" customHeight="false" outlineLevel="0" collapsed="false">
      <c r="A32" s="6" t="s">
        <v>369</v>
      </c>
      <c r="B32" s="6" t="s">
        <v>345</v>
      </c>
      <c r="C32" s="6" t="s">
        <v>346</v>
      </c>
      <c r="D32" s="6" t="s">
        <v>316</v>
      </c>
      <c r="E32" s="6" t="s">
        <v>69</v>
      </c>
      <c r="F32" s="8" t="n">
        <v>1</v>
      </c>
      <c r="G32" s="9" t="n">
        <v>46331</v>
      </c>
      <c r="H32" s="8" t="n">
        <f aca="false">G32-'LEIA-ME'!$B$4</f>
        <v>20</v>
      </c>
      <c r="I32" s="6" t="str">
        <f aca="false">IF(H32&lt;0,"Vencido",IF(H32&lt;=30,"Até 30 dias",IF(H32&lt;=90,"31 a 90 dias","Em dia")))</f>
        <v>Até 30 dias</v>
      </c>
    </row>
    <row r="33" customFormat="false" ht="15" hidden="false" customHeight="false" outlineLevel="0" collapsed="false">
      <c r="A33" s="6" t="s">
        <v>370</v>
      </c>
      <c r="B33" s="6" t="s">
        <v>348</v>
      </c>
      <c r="C33" s="6" t="s">
        <v>346</v>
      </c>
      <c r="D33" s="6" t="s">
        <v>337</v>
      </c>
      <c r="E33" s="6" t="s">
        <v>69</v>
      </c>
      <c r="F33" s="8" t="n">
        <v>2</v>
      </c>
      <c r="G33" s="9" t="n">
        <v>46430</v>
      </c>
      <c r="H33" s="8" t="n">
        <f aca="false">G33-'LEIA-ME'!$B$4</f>
        <v>119</v>
      </c>
      <c r="I33" s="6" t="str">
        <f aca="false">IF(H33&lt;0,"Vencido",IF(H33&lt;=30,"Até 30 dias",IF(H33&lt;=90,"31 a 90 dias","Em dia")))</f>
        <v>Em dia</v>
      </c>
    </row>
    <row r="34" customFormat="false" ht="15" hidden="false" customHeight="false" outlineLevel="0" collapsed="false">
      <c r="A34" s="6" t="s">
        <v>371</v>
      </c>
      <c r="B34" s="6" t="s">
        <v>350</v>
      </c>
      <c r="C34" s="6" t="s">
        <v>351</v>
      </c>
      <c r="D34" s="6" t="s">
        <v>314</v>
      </c>
      <c r="E34" s="6" t="s">
        <v>69</v>
      </c>
      <c r="F34" s="8" t="n">
        <v>1</v>
      </c>
      <c r="G34" s="9" t="n">
        <v>46465</v>
      </c>
      <c r="H34" s="8" t="n">
        <f aca="false">G34-'LEIA-ME'!$B$4</f>
        <v>154</v>
      </c>
      <c r="I34" s="6" t="str">
        <f aca="false">IF(H34&lt;0,"Vencido",IF(H34&lt;=30,"Até 30 dias",IF(H34&lt;=90,"31 a 90 dias","Em dia")))</f>
        <v>Em dia</v>
      </c>
    </row>
    <row r="35" customFormat="false" ht="15" hidden="false" customHeight="false" outlineLevel="0" collapsed="false">
      <c r="A35" s="6" t="s">
        <v>372</v>
      </c>
      <c r="B35" s="6" t="s">
        <v>353</v>
      </c>
      <c r="C35" s="6" t="s">
        <v>351</v>
      </c>
      <c r="D35" s="6" t="s">
        <v>337</v>
      </c>
      <c r="E35" s="6" t="s">
        <v>69</v>
      </c>
      <c r="F35" s="8" t="n">
        <v>1</v>
      </c>
      <c r="G35" s="9" t="n">
        <v>46366</v>
      </c>
      <c r="H35" s="8" t="n">
        <f aca="false">G35-'LEIA-ME'!$B$4</f>
        <v>55</v>
      </c>
      <c r="I35" s="6" t="str">
        <f aca="false">IF(H35&lt;0,"Vencido",IF(H35&lt;=30,"Até 30 dias",IF(H35&lt;=90,"31 a 90 dias","Em dia")))</f>
        <v>31 a 90 dias</v>
      </c>
    </row>
    <row r="36" customFormat="false" ht="15" hidden="false" customHeight="false" outlineLevel="0" collapsed="false">
      <c r="A36" s="6" t="s">
        <v>373</v>
      </c>
      <c r="B36" s="6" t="s">
        <v>312</v>
      </c>
      <c r="C36" s="6" t="s">
        <v>313</v>
      </c>
      <c r="D36" s="6" t="s">
        <v>324</v>
      </c>
      <c r="E36" s="6" t="s">
        <v>73</v>
      </c>
      <c r="F36" s="8" t="n">
        <v>1</v>
      </c>
      <c r="G36" s="9" t="n">
        <v>46296</v>
      </c>
      <c r="H36" s="8" t="n">
        <f aca="false">G36-'LEIA-ME'!$B$4</f>
        <v>-15</v>
      </c>
      <c r="I36" s="6" t="str">
        <f aca="false">IF(H36&lt;0,"Vencido",IF(H36&lt;=30,"Até 30 dias",IF(H36&lt;=90,"31 a 90 dias","Em dia")))</f>
        <v>Vencido</v>
      </c>
    </row>
    <row r="37" customFormat="false" ht="15" hidden="false" customHeight="false" outlineLevel="0" collapsed="false">
      <c r="A37" s="6" t="s">
        <v>374</v>
      </c>
      <c r="B37" s="6" t="s">
        <v>318</v>
      </c>
      <c r="C37" s="6" t="s">
        <v>313</v>
      </c>
      <c r="D37" s="6" t="s">
        <v>324</v>
      </c>
      <c r="E37" s="6" t="s">
        <v>73</v>
      </c>
      <c r="F37" s="8" t="n">
        <v>1</v>
      </c>
      <c r="G37" s="9" t="n">
        <v>46548</v>
      </c>
      <c r="H37" s="8" t="n">
        <f aca="false">G37-'LEIA-ME'!$B$4</f>
        <v>237</v>
      </c>
      <c r="I37" s="6" t="str">
        <f aca="false">IF(H37&lt;0,"Vencido",IF(H37&lt;=30,"Até 30 dias",IF(H37&lt;=90,"31 a 90 dias","Em dia")))</f>
        <v>Em dia</v>
      </c>
    </row>
    <row r="38" customFormat="false" ht="15" hidden="false" customHeight="false" outlineLevel="0" collapsed="false">
      <c r="A38" s="6" t="s">
        <v>375</v>
      </c>
      <c r="B38" s="6" t="s">
        <v>321</v>
      </c>
      <c r="C38" s="6" t="s">
        <v>313</v>
      </c>
      <c r="D38" s="6" t="s">
        <v>324</v>
      </c>
      <c r="E38" s="6" t="s">
        <v>73</v>
      </c>
      <c r="F38" s="8" t="n">
        <v>1</v>
      </c>
      <c r="G38" s="9" t="n">
        <v>46561</v>
      </c>
      <c r="H38" s="8" t="n">
        <f aca="false">G38-'LEIA-ME'!$B$4</f>
        <v>250</v>
      </c>
      <c r="I38" s="6" t="str">
        <f aca="false">IF(H38&lt;0,"Vencido",IF(H38&lt;=30,"Até 30 dias",IF(H38&lt;=90,"31 a 90 dias","Em dia")))</f>
        <v>Em dia</v>
      </c>
    </row>
    <row r="39" customFormat="false" ht="15" hidden="false" customHeight="false" outlineLevel="0" collapsed="false">
      <c r="A39" s="6" t="s">
        <v>376</v>
      </c>
      <c r="B39" s="6" t="s">
        <v>321</v>
      </c>
      <c r="C39" s="6" t="s">
        <v>313</v>
      </c>
      <c r="D39" s="6" t="s">
        <v>365</v>
      </c>
      <c r="E39" s="6" t="s">
        <v>73</v>
      </c>
      <c r="F39" s="8" t="n">
        <v>1</v>
      </c>
      <c r="G39" s="9" t="n">
        <v>46297</v>
      </c>
      <c r="H39" s="8" t="n">
        <f aca="false">G39-'LEIA-ME'!$B$4</f>
        <v>-14</v>
      </c>
      <c r="I39" s="6" t="str">
        <f aca="false">IF(H39&lt;0,"Vencido",IF(H39&lt;=30,"Até 30 dias",IF(H39&lt;=90,"31 a 90 dias","Em dia")))</f>
        <v>Vencido</v>
      </c>
    </row>
    <row r="40" customFormat="false" ht="15" hidden="false" customHeight="false" outlineLevel="0" collapsed="false">
      <c r="A40" s="6" t="s">
        <v>377</v>
      </c>
      <c r="B40" s="6" t="s">
        <v>321</v>
      </c>
      <c r="C40" s="6" t="s">
        <v>313</v>
      </c>
      <c r="D40" s="6" t="s">
        <v>365</v>
      </c>
      <c r="E40" s="6" t="s">
        <v>73</v>
      </c>
      <c r="F40" s="8" t="n">
        <v>1</v>
      </c>
      <c r="G40" s="9" t="n">
        <v>46374</v>
      </c>
      <c r="H40" s="8" t="n">
        <f aca="false">G40-'LEIA-ME'!$B$4</f>
        <v>63</v>
      </c>
      <c r="I40" s="6" t="str">
        <f aca="false">IF(H40&lt;0,"Vencido",IF(H40&lt;=30,"Até 30 dias",IF(H40&lt;=90,"31 a 90 dias","Em dia")))</f>
        <v>31 a 90 dias</v>
      </c>
    </row>
    <row r="41" customFormat="false" ht="15" hidden="false" customHeight="false" outlineLevel="0" collapsed="false">
      <c r="A41" s="6" t="s">
        <v>378</v>
      </c>
      <c r="B41" s="6" t="s">
        <v>327</v>
      </c>
      <c r="C41" s="6" t="s">
        <v>328</v>
      </c>
      <c r="D41" s="6" t="s">
        <v>322</v>
      </c>
      <c r="E41" s="6" t="s">
        <v>73</v>
      </c>
      <c r="F41" s="8" t="n">
        <v>1</v>
      </c>
      <c r="G41" s="9" t="n">
        <v>46364</v>
      </c>
      <c r="H41" s="8" t="n">
        <f aca="false">G41-'LEIA-ME'!$B$4</f>
        <v>53</v>
      </c>
      <c r="I41" s="6" t="str">
        <f aca="false">IF(H41&lt;0,"Vencido",IF(H41&lt;=30,"Até 30 dias",IF(H41&lt;=90,"31 a 90 dias","Em dia")))</f>
        <v>31 a 90 dias</v>
      </c>
    </row>
    <row r="42" customFormat="false" ht="15" hidden="false" customHeight="false" outlineLevel="0" collapsed="false">
      <c r="A42" s="6" t="s">
        <v>379</v>
      </c>
      <c r="B42" s="6" t="s">
        <v>330</v>
      </c>
      <c r="C42" s="6" t="s">
        <v>331</v>
      </c>
      <c r="D42" s="6" t="s">
        <v>319</v>
      </c>
      <c r="E42" s="6" t="s">
        <v>73</v>
      </c>
      <c r="F42" s="8" t="n">
        <v>290</v>
      </c>
      <c r="G42" s="9" t="n">
        <v>46651</v>
      </c>
      <c r="H42" s="8" t="n">
        <f aca="false">G42-'LEIA-ME'!$B$4</f>
        <v>340</v>
      </c>
      <c r="I42" s="6" t="str">
        <f aca="false">IF(H42&lt;0,"Vencido",IF(H42&lt;=30,"Até 30 dias",IF(H42&lt;=90,"31 a 90 dias","Em dia")))</f>
        <v>Em dia</v>
      </c>
    </row>
    <row r="43" customFormat="false" ht="15" hidden="false" customHeight="false" outlineLevel="0" collapsed="false">
      <c r="A43" s="6" t="s">
        <v>380</v>
      </c>
      <c r="B43" s="6" t="s">
        <v>333</v>
      </c>
      <c r="C43" s="6" t="s">
        <v>331</v>
      </c>
      <c r="D43" s="6" t="s">
        <v>334</v>
      </c>
      <c r="E43" s="6" t="s">
        <v>73</v>
      </c>
      <c r="F43" s="8" t="n">
        <v>150</v>
      </c>
      <c r="G43" s="9" t="n">
        <v>46263</v>
      </c>
      <c r="H43" s="8" t="n">
        <f aca="false">G43-'LEIA-ME'!$B$4</f>
        <v>-48</v>
      </c>
      <c r="I43" s="6" t="str">
        <f aca="false">IF(H43&lt;0,"Vencido",IF(H43&lt;=30,"Até 30 dias",IF(H43&lt;=90,"31 a 90 dias","Em dia")))</f>
        <v>Vencido</v>
      </c>
    </row>
    <row r="44" customFormat="false" ht="15" hidden="false" customHeight="false" outlineLevel="0" collapsed="false">
      <c r="A44" s="6" t="s">
        <v>381</v>
      </c>
      <c r="B44" s="6" t="s">
        <v>336</v>
      </c>
      <c r="C44" s="6" t="s">
        <v>331</v>
      </c>
      <c r="D44" s="6" t="s">
        <v>334</v>
      </c>
      <c r="E44" s="6" t="s">
        <v>73</v>
      </c>
      <c r="F44" s="8" t="n">
        <v>50</v>
      </c>
      <c r="G44" s="9" t="n">
        <v>46482</v>
      </c>
      <c r="H44" s="8" t="n">
        <f aca="false">G44-'LEIA-ME'!$B$4</f>
        <v>171</v>
      </c>
      <c r="I44" s="6" t="str">
        <f aca="false">IF(H44&lt;0,"Vencido",IF(H44&lt;=30,"Até 30 dias",IF(H44&lt;=90,"31 a 90 dias","Em dia")))</f>
        <v>Em dia</v>
      </c>
    </row>
    <row r="45" customFormat="false" ht="15" hidden="false" customHeight="false" outlineLevel="0" collapsed="false">
      <c r="A45" s="6" t="s">
        <v>382</v>
      </c>
      <c r="B45" s="6" t="s">
        <v>339</v>
      </c>
      <c r="C45" s="6" t="s">
        <v>331</v>
      </c>
      <c r="D45" s="6" t="s">
        <v>314</v>
      </c>
      <c r="E45" s="6" t="s">
        <v>73</v>
      </c>
      <c r="F45" s="8" t="n">
        <v>160</v>
      </c>
      <c r="G45" s="9" t="n">
        <v>46399</v>
      </c>
      <c r="H45" s="8" t="n">
        <f aca="false">G45-'LEIA-ME'!$B$4</f>
        <v>88</v>
      </c>
      <c r="I45" s="6" t="str">
        <f aca="false">IF(H45&lt;0,"Vencido",IF(H45&lt;=30,"Até 30 dias",IF(H45&lt;=90,"31 a 90 dias","Em dia")))</f>
        <v>31 a 90 dias</v>
      </c>
    </row>
    <row r="46" customFormat="false" ht="15" hidden="false" customHeight="false" outlineLevel="0" collapsed="false">
      <c r="A46" s="6" t="s">
        <v>383</v>
      </c>
      <c r="B46" s="6" t="s">
        <v>341</v>
      </c>
      <c r="C46" s="6" t="s">
        <v>331</v>
      </c>
      <c r="D46" s="6" t="s">
        <v>319</v>
      </c>
      <c r="E46" s="6" t="s">
        <v>73</v>
      </c>
      <c r="F46" s="8" t="n">
        <v>340</v>
      </c>
      <c r="G46" s="9" t="n">
        <v>46711</v>
      </c>
      <c r="H46" s="8" t="n">
        <f aca="false">G46-'LEIA-ME'!$B$4</f>
        <v>400</v>
      </c>
      <c r="I46" s="6" t="str">
        <f aca="false">IF(H46&lt;0,"Vencido",IF(H46&lt;=30,"Até 30 dias",IF(H46&lt;=90,"31 a 90 dias","Em dia")))</f>
        <v>Em dia</v>
      </c>
    </row>
    <row r="47" customFormat="false" ht="15" hidden="false" customHeight="false" outlineLevel="0" collapsed="false">
      <c r="A47" s="6" t="s">
        <v>384</v>
      </c>
      <c r="B47" s="6" t="s">
        <v>343</v>
      </c>
      <c r="C47" s="6" t="s">
        <v>331</v>
      </c>
      <c r="D47" s="6" t="s">
        <v>334</v>
      </c>
      <c r="E47" s="6" t="s">
        <v>73</v>
      </c>
      <c r="F47" s="8" t="n">
        <v>340</v>
      </c>
      <c r="G47" s="9" t="n">
        <v>46336</v>
      </c>
      <c r="H47" s="8" t="n">
        <f aca="false">G47-'LEIA-ME'!$B$4</f>
        <v>25</v>
      </c>
      <c r="I47" s="6" t="str">
        <f aca="false">IF(H47&lt;0,"Vencido",IF(H47&lt;=30,"Até 30 dias",IF(H47&lt;=90,"31 a 90 dias","Em dia")))</f>
        <v>Até 30 dias</v>
      </c>
    </row>
    <row r="48" customFormat="false" ht="15" hidden="false" customHeight="false" outlineLevel="0" collapsed="false">
      <c r="A48" s="6" t="s">
        <v>385</v>
      </c>
      <c r="B48" s="6" t="s">
        <v>345</v>
      </c>
      <c r="C48" s="6" t="s">
        <v>346</v>
      </c>
      <c r="D48" s="6" t="s">
        <v>365</v>
      </c>
      <c r="E48" s="6" t="s">
        <v>73</v>
      </c>
      <c r="F48" s="8" t="n">
        <v>4</v>
      </c>
      <c r="G48" s="9" t="n">
        <v>46364</v>
      </c>
      <c r="H48" s="8" t="n">
        <f aca="false">G48-'LEIA-ME'!$B$4</f>
        <v>53</v>
      </c>
      <c r="I48" s="6" t="str">
        <f aca="false">IF(H48&lt;0,"Vencido",IF(H48&lt;=30,"Até 30 dias",IF(H48&lt;=90,"31 a 90 dias","Em dia")))</f>
        <v>31 a 90 dias</v>
      </c>
    </row>
    <row r="49" customFormat="false" ht="15" hidden="false" customHeight="false" outlineLevel="0" collapsed="false">
      <c r="A49" s="6" t="s">
        <v>386</v>
      </c>
      <c r="B49" s="6" t="s">
        <v>348</v>
      </c>
      <c r="C49" s="6" t="s">
        <v>346</v>
      </c>
      <c r="D49" s="6" t="s">
        <v>357</v>
      </c>
      <c r="E49" s="6" t="s">
        <v>73</v>
      </c>
      <c r="F49" s="8" t="n">
        <v>1</v>
      </c>
      <c r="G49" s="9" t="n">
        <v>46243</v>
      </c>
      <c r="H49" s="8" t="n">
        <f aca="false">G49-'LEIA-ME'!$B$4</f>
        <v>-68</v>
      </c>
      <c r="I49" s="6" t="str">
        <f aca="false">IF(H49&lt;0,"Vencido",IF(H49&lt;=30,"Até 30 dias",IF(H49&lt;=90,"31 a 90 dias","Em dia")))</f>
        <v>Vencido</v>
      </c>
    </row>
    <row r="50" customFormat="false" ht="15" hidden="false" customHeight="false" outlineLevel="0" collapsed="false">
      <c r="A50" s="6" t="s">
        <v>387</v>
      </c>
      <c r="B50" s="6" t="s">
        <v>350</v>
      </c>
      <c r="C50" s="6" t="s">
        <v>351</v>
      </c>
      <c r="D50" s="6" t="s">
        <v>316</v>
      </c>
      <c r="E50" s="6" t="s">
        <v>73</v>
      </c>
      <c r="F50" s="8" t="n">
        <v>1</v>
      </c>
      <c r="G50" s="9" t="n">
        <v>46299</v>
      </c>
      <c r="H50" s="8" t="n">
        <f aca="false">G50-'LEIA-ME'!$B$4</f>
        <v>-12</v>
      </c>
      <c r="I50" s="6" t="str">
        <f aca="false">IF(H50&lt;0,"Vencido",IF(H50&lt;=30,"Até 30 dias",IF(H50&lt;=90,"31 a 90 dias","Em dia")))</f>
        <v>Vencido</v>
      </c>
    </row>
    <row r="51" customFormat="false" ht="15" hidden="false" customHeight="false" outlineLevel="0" collapsed="false">
      <c r="A51" s="6" t="s">
        <v>388</v>
      </c>
      <c r="B51" s="6" t="s">
        <v>353</v>
      </c>
      <c r="C51" s="6" t="s">
        <v>351</v>
      </c>
      <c r="D51" s="6" t="s">
        <v>322</v>
      </c>
      <c r="E51" s="6" t="s">
        <v>73</v>
      </c>
      <c r="F51" s="8" t="n">
        <v>1</v>
      </c>
      <c r="G51" s="9" t="n">
        <v>46583</v>
      </c>
      <c r="H51" s="8" t="n">
        <f aca="false">G51-'LEIA-ME'!$B$4</f>
        <v>272</v>
      </c>
      <c r="I51" s="6" t="str">
        <f aca="false">IF(H51&lt;0,"Vencido",IF(H51&lt;=30,"Até 30 dias",IF(H51&lt;=90,"31 a 90 dias","Em dia")))</f>
        <v>Em dia</v>
      </c>
    </row>
    <row r="52" customFormat="false" ht="15" hidden="false" customHeight="false" outlineLevel="0" collapsed="false">
      <c r="A52" s="6" t="s">
        <v>389</v>
      </c>
      <c r="B52" s="6" t="s">
        <v>312</v>
      </c>
      <c r="C52" s="6" t="s">
        <v>313</v>
      </c>
      <c r="D52" s="6" t="s">
        <v>316</v>
      </c>
      <c r="E52" s="6" t="s">
        <v>77</v>
      </c>
      <c r="F52" s="8" t="n">
        <v>1</v>
      </c>
      <c r="G52" s="9" t="n">
        <v>46512</v>
      </c>
      <c r="H52" s="8" t="n">
        <f aca="false">G52-'LEIA-ME'!$B$4</f>
        <v>201</v>
      </c>
      <c r="I52" s="6" t="str">
        <f aca="false">IF(H52&lt;0,"Vencido",IF(H52&lt;=30,"Até 30 dias",IF(H52&lt;=90,"31 a 90 dias","Em dia")))</f>
        <v>Em dia</v>
      </c>
    </row>
    <row r="53" customFormat="false" ht="15" hidden="false" customHeight="false" outlineLevel="0" collapsed="false">
      <c r="A53" s="6" t="s">
        <v>390</v>
      </c>
      <c r="B53" s="6" t="s">
        <v>312</v>
      </c>
      <c r="C53" s="6" t="s">
        <v>313</v>
      </c>
      <c r="D53" s="6" t="s">
        <v>357</v>
      </c>
      <c r="E53" s="6" t="s">
        <v>77</v>
      </c>
      <c r="F53" s="8" t="n">
        <v>1</v>
      </c>
      <c r="G53" s="9" t="n">
        <v>46428</v>
      </c>
      <c r="H53" s="8" t="n">
        <f aca="false">G53-'LEIA-ME'!$B$4</f>
        <v>117</v>
      </c>
      <c r="I53" s="6" t="str">
        <f aca="false">IF(H53&lt;0,"Vencido",IF(H53&lt;=30,"Até 30 dias",IF(H53&lt;=90,"31 a 90 dias","Em dia")))</f>
        <v>Em dia</v>
      </c>
    </row>
    <row r="54" customFormat="false" ht="15" hidden="false" customHeight="false" outlineLevel="0" collapsed="false">
      <c r="A54" s="6" t="s">
        <v>391</v>
      </c>
      <c r="B54" s="6" t="s">
        <v>312</v>
      </c>
      <c r="C54" s="6" t="s">
        <v>313</v>
      </c>
      <c r="D54" s="6" t="s">
        <v>319</v>
      </c>
      <c r="E54" s="6" t="s">
        <v>77</v>
      </c>
      <c r="F54" s="8" t="n">
        <v>1</v>
      </c>
      <c r="G54" s="9" t="n">
        <v>46567</v>
      </c>
      <c r="H54" s="8" t="n">
        <f aca="false">G54-'LEIA-ME'!$B$4</f>
        <v>256</v>
      </c>
      <c r="I54" s="6" t="str">
        <f aca="false">IF(H54&lt;0,"Vencido",IF(H54&lt;=30,"Até 30 dias",IF(H54&lt;=90,"31 a 90 dias","Em dia")))</f>
        <v>Em dia</v>
      </c>
    </row>
    <row r="55" customFormat="false" ht="15" hidden="false" customHeight="false" outlineLevel="0" collapsed="false">
      <c r="A55" s="6" t="s">
        <v>392</v>
      </c>
      <c r="B55" s="6" t="s">
        <v>318</v>
      </c>
      <c r="C55" s="6" t="s">
        <v>313</v>
      </c>
      <c r="D55" s="6" t="s">
        <v>319</v>
      </c>
      <c r="E55" s="6" t="s">
        <v>77</v>
      </c>
      <c r="F55" s="8" t="n">
        <v>1</v>
      </c>
      <c r="G55" s="9" t="n">
        <v>46641</v>
      </c>
      <c r="H55" s="8" t="n">
        <f aca="false">G55-'LEIA-ME'!$B$4</f>
        <v>330</v>
      </c>
      <c r="I55" s="6" t="str">
        <f aca="false">IF(H55&lt;0,"Vencido",IF(H55&lt;=30,"Até 30 dias",IF(H55&lt;=90,"31 a 90 dias","Em dia")))</f>
        <v>Em dia</v>
      </c>
    </row>
    <row r="56" customFormat="false" ht="15" hidden="false" customHeight="false" outlineLevel="0" collapsed="false">
      <c r="A56" s="6" t="s">
        <v>393</v>
      </c>
      <c r="B56" s="6" t="s">
        <v>321</v>
      </c>
      <c r="C56" s="6" t="s">
        <v>313</v>
      </c>
      <c r="D56" s="6" t="s">
        <v>324</v>
      </c>
      <c r="E56" s="6" t="s">
        <v>77</v>
      </c>
      <c r="F56" s="8" t="n">
        <v>1</v>
      </c>
      <c r="G56" s="9" t="n">
        <v>46264</v>
      </c>
      <c r="H56" s="8" t="n">
        <f aca="false">G56-'LEIA-ME'!$B$4</f>
        <v>-47</v>
      </c>
      <c r="I56" s="6" t="str">
        <f aca="false">IF(H56&lt;0,"Vencido",IF(H56&lt;=30,"Até 30 dias",IF(H56&lt;=90,"31 a 90 dias","Em dia")))</f>
        <v>Vencido</v>
      </c>
    </row>
    <row r="57" customFormat="false" ht="15" hidden="false" customHeight="false" outlineLevel="0" collapsed="false">
      <c r="A57" s="6" t="s">
        <v>394</v>
      </c>
      <c r="B57" s="6" t="s">
        <v>321</v>
      </c>
      <c r="C57" s="6" t="s">
        <v>313</v>
      </c>
      <c r="D57" s="6" t="s">
        <v>357</v>
      </c>
      <c r="E57" s="6" t="s">
        <v>77</v>
      </c>
      <c r="F57" s="8" t="n">
        <v>1</v>
      </c>
      <c r="G57" s="9" t="n">
        <v>46436</v>
      </c>
      <c r="H57" s="8" t="n">
        <f aca="false">G57-'LEIA-ME'!$B$4</f>
        <v>125</v>
      </c>
      <c r="I57" s="6" t="str">
        <f aca="false">IF(H57&lt;0,"Vencido",IF(H57&lt;=30,"Até 30 dias",IF(H57&lt;=90,"31 a 90 dias","Em dia")))</f>
        <v>Em dia</v>
      </c>
    </row>
    <row r="58" customFormat="false" ht="15" hidden="false" customHeight="false" outlineLevel="0" collapsed="false">
      <c r="A58" s="6" t="s">
        <v>395</v>
      </c>
      <c r="B58" s="6" t="s">
        <v>327</v>
      </c>
      <c r="C58" s="6" t="s">
        <v>328</v>
      </c>
      <c r="D58" s="6" t="s">
        <v>316</v>
      </c>
      <c r="E58" s="6" t="s">
        <v>77</v>
      </c>
      <c r="F58" s="8" t="n">
        <v>1</v>
      </c>
      <c r="G58" s="9" t="n">
        <v>46446</v>
      </c>
      <c r="H58" s="8" t="n">
        <f aca="false">G58-'LEIA-ME'!$B$4</f>
        <v>135</v>
      </c>
      <c r="I58" s="6" t="str">
        <f aca="false">IF(H58&lt;0,"Vencido",IF(H58&lt;=30,"Até 30 dias",IF(H58&lt;=90,"31 a 90 dias","Em dia")))</f>
        <v>Em dia</v>
      </c>
    </row>
    <row r="59" customFormat="false" ht="15" hidden="false" customHeight="false" outlineLevel="0" collapsed="false">
      <c r="A59" s="6" t="s">
        <v>396</v>
      </c>
      <c r="B59" s="6" t="s">
        <v>330</v>
      </c>
      <c r="C59" s="6" t="s">
        <v>331</v>
      </c>
      <c r="D59" s="6" t="s">
        <v>324</v>
      </c>
      <c r="E59" s="6" t="s">
        <v>77</v>
      </c>
      <c r="F59" s="8" t="n">
        <v>330</v>
      </c>
      <c r="G59" s="9" t="n">
        <v>46577</v>
      </c>
      <c r="H59" s="8" t="n">
        <f aca="false">G59-'LEIA-ME'!$B$4</f>
        <v>266</v>
      </c>
      <c r="I59" s="6" t="str">
        <f aca="false">IF(H59&lt;0,"Vencido",IF(H59&lt;=30,"Até 30 dias",IF(H59&lt;=90,"31 a 90 dias","Em dia")))</f>
        <v>Em dia</v>
      </c>
    </row>
    <row r="60" customFormat="false" ht="15" hidden="false" customHeight="false" outlineLevel="0" collapsed="false">
      <c r="A60" s="6" t="s">
        <v>397</v>
      </c>
      <c r="B60" s="6" t="s">
        <v>333</v>
      </c>
      <c r="C60" s="6" t="s">
        <v>331</v>
      </c>
      <c r="D60" s="6" t="s">
        <v>365</v>
      </c>
      <c r="E60" s="6" t="s">
        <v>77</v>
      </c>
      <c r="F60" s="8" t="n">
        <v>390</v>
      </c>
      <c r="G60" s="9" t="n">
        <v>46244</v>
      </c>
      <c r="H60" s="8" t="n">
        <f aca="false">G60-'LEIA-ME'!$B$4</f>
        <v>-67</v>
      </c>
      <c r="I60" s="6" t="str">
        <f aca="false">IF(H60&lt;0,"Vencido",IF(H60&lt;=30,"Até 30 dias",IF(H60&lt;=90,"31 a 90 dias","Em dia")))</f>
        <v>Vencido</v>
      </c>
    </row>
    <row r="61" customFormat="false" ht="15" hidden="false" customHeight="false" outlineLevel="0" collapsed="false">
      <c r="A61" s="6" t="s">
        <v>398</v>
      </c>
      <c r="B61" s="6" t="s">
        <v>336</v>
      </c>
      <c r="C61" s="6" t="s">
        <v>331</v>
      </c>
      <c r="D61" s="6" t="s">
        <v>319</v>
      </c>
      <c r="E61" s="6" t="s">
        <v>77</v>
      </c>
      <c r="F61" s="8" t="n">
        <v>250</v>
      </c>
      <c r="G61" s="9" t="n">
        <v>46449</v>
      </c>
      <c r="H61" s="8" t="n">
        <f aca="false">G61-'LEIA-ME'!$B$4</f>
        <v>138</v>
      </c>
      <c r="I61" s="6" t="str">
        <f aca="false">IF(H61&lt;0,"Vencido",IF(H61&lt;=30,"Até 30 dias",IF(H61&lt;=90,"31 a 90 dias","Em dia")))</f>
        <v>Em dia</v>
      </c>
    </row>
    <row r="62" customFormat="false" ht="15" hidden="false" customHeight="false" outlineLevel="0" collapsed="false">
      <c r="A62" s="6" t="s">
        <v>399</v>
      </c>
      <c r="B62" s="6" t="s">
        <v>339</v>
      </c>
      <c r="C62" s="6" t="s">
        <v>331</v>
      </c>
      <c r="D62" s="6" t="s">
        <v>314</v>
      </c>
      <c r="E62" s="6" t="s">
        <v>77</v>
      </c>
      <c r="F62" s="8" t="n">
        <v>110</v>
      </c>
      <c r="G62" s="9" t="n">
        <v>47149</v>
      </c>
      <c r="H62" s="8" t="n">
        <f aca="false">G62-'LEIA-ME'!$B$4</f>
        <v>838</v>
      </c>
      <c r="I62" s="6" t="str">
        <f aca="false">IF(H62&lt;0,"Vencido",IF(H62&lt;=30,"Até 30 dias",IF(H62&lt;=90,"31 a 90 dias","Em dia")))</f>
        <v>Em dia</v>
      </c>
    </row>
    <row r="63" customFormat="false" ht="15" hidden="false" customHeight="false" outlineLevel="0" collapsed="false">
      <c r="A63" s="6" t="s">
        <v>400</v>
      </c>
      <c r="B63" s="6" t="s">
        <v>341</v>
      </c>
      <c r="C63" s="6" t="s">
        <v>331</v>
      </c>
      <c r="D63" s="6" t="s">
        <v>319</v>
      </c>
      <c r="E63" s="6" t="s">
        <v>77</v>
      </c>
      <c r="F63" s="8" t="n">
        <v>210</v>
      </c>
      <c r="G63" s="9" t="n">
        <v>46687</v>
      </c>
      <c r="H63" s="8" t="n">
        <f aca="false">G63-'LEIA-ME'!$B$4</f>
        <v>376</v>
      </c>
      <c r="I63" s="6" t="str">
        <f aca="false">IF(H63&lt;0,"Vencido",IF(H63&lt;=30,"Até 30 dias",IF(H63&lt;=90,"31 a 90 dias","Em dia")))</f>
        <v>Em dia</v>
      </c>
    </row>
    <row r="64" customFormat="false" ht="15" hidden="false" customHeight="false" outlineLevel="0" collapsed="false">
      <c r="A64" s="6" t="s">
        <v>401</v>
      </c>
      <c r="B64" s="6" t="s">
        <v>343</v>
      </c>
      <c r="C64" s="6" t="s">
        <v>331</v>
      </c>
      <c r="D64" s="6" t="s">
        <v>365</v>
      </c>
      <c r="E64" s="6" t="s">
        <v>77</v>
      </c>
      <c r="F64" s="8" t="n">
        <v>150</v>
      </c>
      <c r="G64" s="9" t="n">
        <v>46428</v>
      </c>
      <c r="H64" s="8" t="n">
        <f aca="false">G64-'LEIA-ME'!$B$4</f>
        <v>117</v>
      </c>
      <c r="I64" s="6" t="str">
        <f aca="false">IF(H64&lt;0,"Vencido",IF(H64&lt;=30,"Até 30 dias",IF(H64&lt;=90,"31 a 90 dias","Em dia")))</f>
        <v>Em dia</v>
      </c>
    </row>
    <row r="65" customFormat="false" ht="15" hidden="false" customHeight="false" outlineLevel="0" collapsed="false">
      <c r="A65" s="6" t="s">
        <v>402</v>
      </c>
      <c r="B65" s="6" t="s">
        <v>345</v>
      </c>
      <c r="C65" s="6" t="s">
        <v>346</v>
      </c>
      <c r="D65" s="6" t="s">
        <v>334</v>
      </c>
      <c r="E65" s="6" t="s">
        <v>77</v>
      </c>
      <c r="F65" s="8" t="n">
        <v>1</v>
      </c>
      <c r="G65" s="9" t="n">
        <v>46324</v>
      </c>
      <c r="H65" s="8" t="n">
        <f aca="false">G65-'LEIA-ME'!$B$4</f>
        <v>13</v>
      </c>
      <c r="I65" s="6" t="str">
        <f aca="false">IF(H65&lt;0,"Vencido",IF(H65&lt;=30,"Até 30 dias",IF(H65&lt;=90,"31 a 90 dias","Em dia")))</f>
        <v>Até 30 dias</v>
      </c>
    </row>
    <row r="66" customFormat="false" ht="15" hidden="false" customHeight="false" outlineLevel="0" collapsed="false">
      <c r="A66" s="6" t="s">
        <v>403</v>
      </c>
      <c r="B66" s="6" t="s">
        <v>348</v>
      </c>
      <c r="C66" s="6" t="s">
        <v>346</v>
      </c>
      <c r="D66" s="6" t="s">
        <v>324</v>
      </c>
      <c r="E66" s="6" t="s">
        <v>77</v>
      </c>
      <c r="F66" s="8" t="n">
        <v>4</v>
      </c>
      <c r="G66" s="9" t="n">
        <v>46332</v>
      </c>
      <c r="H66" s="8" t="n">
        <f aca="false">G66-'LEIA-ME'!$B$4</f>
        <v>21</v>
      </c>
      <c r="I66" s="6" t="str">
        <f aca="false">IF(H66&lt;0,"Vencido",IF(H66&lt;=30,"Até 30 dias",IF(H66&lt;=90,"31 a 90 dias","Em dia")))</f>
        <v>Até 30 dias</v>
      </c>
    </row>
    <row r="67" customFormat="false" ht="15" hidden="false" customHeight="false" outlineLevel="0" collapsed="false">
      <c r="A67" s="6" t="s">
        <v>404</v>
      </c>
      <c r="B67" s="6" t="s">
        <v>350</v>
      </c>
      <c r="C67" s="6" t="s">
        <v>351</v>
      </c>
      <c r="D67" s="6" t="s">
        <v>319</v>
      </c>
      <c r="E67" s="6" t="s">
        <v>77</v>
      </c>
      <c r="F67" s="8" t="n">
        <v>1</v>
      </c>
      <c r="G67" s="9" t="n">
        <v>46331</v>
      </c>
      <c r="H67" s="8" t="n">
        <f aca="false">G67-'LEIA-ME'!$B$4</f>
        <v>20</v>
      </c>
      <c r="I67" s="6" t="str">
        <f aca="false">IF(H67&lt;0,"Vencido",IF(H67&lt;=30,"Até 30 dias",IF(H67&lt;=90,"31 a 90 dias","Em dia")))</f>
        <v>Até 30 dias</v>
      </c>
    </row>
    <row r="68" customFormat="false" ht="15" hidden="false" customHeight="false" outlineLevel="0" collapsed="false">
      <c r="A68" s="6" t="s">
        <v>405</v>
      </c>
      <c r="B68" s="6" t="s">
        <v>353</v>
      </c>
      <c r="C68" s="6" t="s">
        <v>351</v>
      </c>
      <c r="D68" s="6" t="s">
        <v>314</v>
      </c>
      <c r="E68" s="6" t="s">
        <v>77</v>
      </c>
      <c r="F68" s="8" t="n">
        <v>1</v>
      </c>
      <c r="G68" s="9" t="n">
        <v>46383</v>
      </c>
      <c r="H68" s="8" t="n">
        <f aca="false">G68-'LEIA-ME'!$B$4</f>
        <v>72</v>
      </c>
      <c r="I68" s="6" t="str">
        <f aca="false">IF(H68&lt;0,"Vencido",IF(H68&lt;=30,"Até 30 dias",IF(H68&lt;=90,"31 a 90 dias","Em dia")))</f>
        <v>31 a 90 dias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1"/>
    <col collapsed="false" customWidth="true" hidden="false" outlineLevel="0" max="9" min="9" style="0" width="22"/>
    <col collapsed="false" customWidth="true" hidden="false" outlineLevel="0" max="10" min="10" style="0" width="19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7"/>
  </cols>
  <sheetData>
    <row r="1" customFormat="false" ht="15" hidden="false" customHeight="false" outlineLevel="0" collapsed="false">
      <c r="A1" s="3" t="s">
        <v>306</v>
      </c>
      <c r="B1" s="3" t="s">
        <v>406</v>
      </c>
      <c r="C1" s="3" t="s">
        <v>58</v>
      </c>
      <c r="D1" s="3" t="s">
        <v>407</v>
      </c>
      <c r="E1" s="3" t="s">
        <v>56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  <c r="K1" s="3" t="s">
        <v>413</v>
      </c>
      <c r="L1" s="3" t="s">
        <v>414</v>
      </c>
      <c r="M1" s="3" t="s">
        <v>415</v>
      </c>
    </row>
    <row r="2" customFormat="false" ht="15" hidden="false" customHeight="false" outlineLevel="0" collapsed="false">
      <c r="A2" s="6" t="s">
        <v>416</v>
      </c>
      <c r="B2" s="6" t="s">
        <v>417</v>
      </c>
      <c r="C2" s="6" t="s">
        <v>418</v>
      </c>
      <c r="D2" s="6" t="s">
        <v>419</v>
      </c>
      <c r="E2" s="6" t="s">
        <v>64</v>
      </c>
      <c r="F2" s="6" t="s">
        <v>420</v>
      </c>
      <c r="G2" s="6" t="s">
        <v>421</v>
      </c>
      <c r="H2" s="9" t="n">
        <v>45698</v>
      </c>
      <c r="I2" s="9" t="n">
        <v>46428</v>
      </c>
      <c r="J2" s="8" t="n">
        <f aca="false">I2-'LEIA-ME'!$B$4</f>
        <v>117</v>
      </c>
      <c r="K2" s="6" t="str">
        <f aca="false">IF(J2&lt;0,"Vencido",IF(J2&lt;=30,"Até 30 dias",IF(J2&lt;=60,"Até 60 dias","Vigente")))</f>
        <v>Vigente</v>
      </c>
      <c r="L2" s="6" t="s">
        <v>422</v>
      </c>
      <c r="M2" s="10" t="n">
        <v>1</v>
      </c>
    </row>
    <row r="3" customFormat="false" ht="15" hidden="false" customHeight="false" outlineLevel="0" collapsed="false">
      <c r="A3" s="6" t="s">
        <v>423</v>
      </c>
      <c r="B3" s="6" t="s">
        <v>424</v>
      </c>
      <c r="C3" s="6" t="s">
        <v>418</v>
      </c>
      <c r="D3" s="6" t="s">
        <v>425</v>
      </c>
      <c r="E3" s="6" t="s">
        <v>64</v>
      </c>
      <c r="F3" s="6" t="s">
        <v>426</v>
      </c>
      <c r="G3" s="6" t="s">
        <v>427</v>
      </c>
      <c r="H3" s="9" t="n">
        <v>46118</v>
      </c>
      <c r="I3" s="9" t="n">
        <v>46483</v>
      </c>
      <c r="J3" s="8" t="n">
        <f aca="false">I3-'LEIA-ME'!$B$4</f>
        <v>172</v>
      </c>
      <c r="K3" s="6" t="str">
        <f aca="false">IF(J3&lt;0,"Vencido",IF(J3&lt;=30,"Até 30 dias",IF(J3&lt;=60,"Até 60 dias","Vigente")))</f>
        <v>Vigente</v>
      </c>
      <c r="L3" s="6" t="s">
        <v>422</v>
      </c>
      <c r="M3" s="10" t="n">
        <v>1</v>
      </c>
    </row>
    <row r="4" customFormat="false" ht="15" hidden="false" customHeight="false" outlineLevel="0" collapsed="false">
      <c r="A4" s="6" t="s">
        <v>428</v>
      </c>
      <c r="B4" s="6" t="s">
        <v>429</v>
      </c>
      <c r="C4" s="6" t="s">
        <v>430</v>
      </c>
      <c r="D4" s="6" t="s">
        <v>431</v>
      </c>
      <c r="E4" s="6" t="s">
        <v>64</v>
      </c>
      <c r="F4" s="6" t="s">
        <v>420</v>
      </c>
      <c r="G4" s="6" t="s">
        <v>432</v>
      </c>
      <c r="H4" s="9" t="n">
        <v>46197</v>
      </c>
      <c r="I4" s="9" t="n">
        <v>46562</v>
      </c>
      <c r="J4" s="8" t="n">
        <f aca="false">I4-'LEIA-ME'!$B$4</f>
        <v>251</v>
      </c>
      <c r="K4" s="6" t="str">
        <f aca="false">IF(J4&lt;0,"Vencido",IF(J4&lt;=30,"Até 30 dias",IF(J4&lt;=60,"Até 60 dias","Vigente")))</f>
        <v>Vigente</v>
      </c>
      <c r="L4" s="6" t="s">
        <v>422</v>
      </c>
      <c r="M4" s="10" t="n">
        <v>1</v>
      </c>
    </row>
    <row r="5" customFormat="false" ht="15" hidden="false" customHeight="false" outlineLevel="0" collapsed="false">
      <c r="A5" s="6" t="s">
        <v>433</v>
      </c>
      <c r="B5" s="6" t="s">
        <v>434</v>
      </c>
      <c r="C5" s="6" t="s">
        <v>430</v>
      </c>
      <c r="D5" s="6" t="s">
        <v>435</v>
      </c>
      <c r="E5" s="6" t="s">
        <v>64</v>
      </c>
      <c r="F5" s="6" t="s">
        <v>436</v>
      </c>
      <c r="G5" s="6" t="s">
        <v>437</v>
      </c>
      <c r="H5" s="9" t="n">
        <v>45594</v>
      </c>
      <c r="I5" s="9" t="n">
        <v>46324</v>
      </c>
      <c r="J5" s="8" t="n">
        <f aca="false">I5-'LEIA-ME'!$B$4</f>
        <v>13</v>
      </c>
      <c r="K5" s="6" t="str">
        <f aca="false">IF(J5&lt;0,"Vencido",IF(J5&lt;=30,"Até 30 dias",IF(J5&lt;=60,"Até 60 dias","Vigente")))</f>
        <v>Até 30 dias</v>
      </c>
      <c r="L5" s="6" t="s">
        <v>422</v>
      </c>
      <c r="M5" s="10" t="n">
        <v>1</v>
      </c>
    </row>
    <row r="6" customFormat="false" ht="15" hidden="false" customHeight="false" outlineLevel="0" collapsed="false">
      <c r="A6" s="6" t="s">
        <v>438</v>
      </c>
      <c r="B6" s="6" t="s">
        <v>439</v>
      </c>
      <c r="C6" s="6" t="s">
        <v>440</v>
      </c>
      <c r="D6" s="6" t="s">
        <v>441</v>
      </c>
      <c r="E6" s="6" t="s">
        <v>64</v>
      </c>
      <c r="F6" s="6" t="s">
        <v>442</v>
      </c>
      <c r="G6" s="6" t="s">
        <v>443</v>
      </c>
      <c r="H6" s="9" t="n">
        <v>46013</v>
      </c>
      <c r="I6" s="9" t="n">
        <v>46378</v>
      </c>
      <c r="J6" s="8" t="n">
        <f aca="false">I6-'LEIA-ME'!$B$4</f>
        <v>67</v>
      </c>
      <c r="K6" s="6" t="str">
        <f aca="false">IF(J6&lt;0,"Vencido",IF(J6&lt;=30,"Até 30 dias",IF(J6&lt;=60,"Até 60 dias","Vigente")))</f>
        <v>Vigente</v>
      </c>
      <c r="L6" s="6" t="s">
        <v>422</v>
      </c>
      <c r="M6" s="10" t="n">
        <v>1</v>
      </c>
    </row>
    <row r="7" customFormat="false" ht="15" hidden="false" customHeight="false" outlineLevel="0" collapsed="false">
      <c r="A7" s="6" t="s">
        <v>444</v>
      </c>
      <c r="B7" s="6" t="s">
        <v>445</v>
      </c>
      <c r="C7" s="6" t="s">
        <v>446</v>
      </c>
      <c r="D7" s="6" t="s">
        <v>419</v>
      </c>
      <c r="E7" s="6" t="s">
        <v>64</v>
      </c>
      <c r="F7" s="6" t="s">
        <v>447</v>
      </c>
      <c r="G7" s="6" t="s">
        <v>443</v>
      </c>
      <c r="H7" s="9" t="n">
        <v>46012</v>
      </c>
      <c r="I7" s="9" t="n">
        <v>46377</v>
      </c>
      <c r="J7" s="8" t="n">
        <f aca="false">I7-'LEIA-ME'!$B$4</f>
        <v>66</v>
      </c>
      <c r="K7" s="6" t="str">
        <f aca="false">IF(J7&lt;0,"Vencido",IF(J7&lt;=30,"Até 30 dias",IF(J7&lt;=60,"Até 60 dias","Vigente")))</f>
        <v>Vigente</v>
      </c>
      <c r="L7" s="6" t="s">
        <v>422</v>
      </c>
      <c r="M7" s="10" t="n">
        <v>1</v>
      </c>
    </row>
    <row r="8" customFormat="false" ht="15" hidden="false" customHeight="false" outlineLevel="0" collapsed="false">
      <c r="A8" s="6" t="s">
        <v>448</v>
      </c>
      <c r="B8" s="6" t="s">
        <v>449</v>
      </c>
      <c r="C8" s="6" t="s">
        <v>446</v>
      </c>
      <c r="D8" s="6" t="s">
        <v>450</v>
      </c>
      <c r="E8" s="6" t="s">
        <v>64</v>
      </c>
      <c r="F8" s="6" t="s">
        <v>447</v>
      </c>
      <c r="G8" s="6" t="s">
        <v>443</v>
      </c>
      <c r="H8" s="9" t="n">
        <v>45998</v>
      </c>
      <c r="I8" s="9" t="n">
        <v>46363</v>
      </c>
      <c r="J8" s="8" t="n">
        <f aca="false">I8-'LEIA-ME'!$B$4</f>
        <v>52</v>
      </c>
      <c r="K8" s="6" t="str">
        <f aca="false">IF(J8&lt;0,"Vencido",IF(J8&lt;=30,"Até 30 dias",IF(J8&lt;=60,"Até 60 dias","Vigente")))</f>
        <v>Até 60 dias</v>
      </c>
      <c r="L8" s="6" t="s">
        <v>422</v>
      </c>
      <c r="M8" s="10" t="n">
        <v>1</v>
      </c>
    </row>
    <row r="9" customFormat="false" ht="15" hidden="false" customHeight="false" outlineLevel="0" collapsed="false">
      <c r="A9" s="6" t="s">
        <v>451</v>
      </c>
      <c r="B9" s="6" t="s">
        <v>452</v>
      </c>
      <c r="C9" s="6" t="s">
        <v>446</v>
      </c>
      <c r="D9" s="6" t="s">
        <v>441</v>
      </c>
      <c r="E9" s="6" t="s">
        <v>64</v>
      </c>
      <c r="F9" s="6" t="s">
        <v>442</v>
      </c>
      <c r="G9" s="6" t="s">
        <v>443</v>
      </c>
      <c r="H9" s="9" t="n">
        <v>46229</v>
      </c>
      <c r="I9" s="9" t="n">
        <v>46594</v>
      </c>
      <c r="J9" s="8" t="n">
        <f aca="false">I9-'LEIA-ME'!$B$4</f>
        <v>283</v>
      </c>
      <c r="K9" s="6" t="str">
        <f aca="false">IF(J9&lt;0,"Vencido",IF(J9&lt;=30,"Até 30 dias",IF(J9&lt;=60,"Até 60 dias","Vigente")))</f>
        <v>Vigente</v>
      </c>
      <c r="L9" s="6" t="s">
        <v>422</v>
      </c>
      <c r="M9" s="10" t="n">
        <v>1</v>
      </c>
    </row>
    <row r="10" customFormat="false" ht="15" hidden="false" customHeight="false" outlineLevel="0" collapsed="false">
      <c r="A10" s="6" t="s">
        <v>453</v>
      </c>
      <c r="B10" s="6" t="s">
        <v>454</v>
      </c>
      <c r="C10" s="6" t="s">
        <v>446</v>
      </c>
      <c r="D10" s="6" t="s">
        <v>455</v>
      </c>
      <c r="E10" s="6" t="s">
        <v>64</v>
      </c>
      <c r="F10" s="6" t="s">
        <v>456</v>
      </c>
      <c r="G10" s="6" t="s">
        <v>443</v>
      </c>
      <c r="H10" s="9" t="n">
        <v>45957</v>
      </c>
      <c r="I10" s="9" t="n">
        <v>46322</v>
      </c>
      <c r="J10" s="8" t="n">
        <f aca="false">I10-'LEIA-ME'!$B$4</f>
        <v>11</v>
      </c>
      <c r="K10" s="6" t="str">
        <f aca="false">IF(J10&lt;0,"Vencido",IF(J10&lt;=30,"Até 30 dias",IF(J10&lt;=60,"Até 60 dias","Vigente")))</f>
        <v>Até 30 dias</v>
      </c>
      <c r="L10" s="6" t="s">
        <v>422</v>
      </c>
      <c r="M10" s="10" t="n">
        <v>1</v>
      </c>
    </row>
    <row r="11" customFormat="false" ht="15" hidden="false" customHeight="false" outlineLevel="0" collapsed="false">
      <c r="A11" s="6" t="s">
        <v>457</v>
      </c>
      <c r="B11" s="6" t="s">
        <v>458</v>
      </c>
      <c r="C11" s="6" t="s">
        <v>459</v>
      </c>
      <c r="D11" s="6" t="s">
        <v>425</v>
      </c>
      <c r="E11" s="6" t="s">
        <v>64</v>
      </c>
      <c r="F11" s="6" t="s">
        <v>460</v>
      </c>
      <c r="G11" s="6" t="s">
        <v>443</v>
      </c>
      <c r="H11" s="9" t="n">
        <v>45991</v>
      </c>
      <c r="I11" s="9" t="n">
        <v>46356</v>
      </c>
      <c r="J11" s="8" t="n">
        <f aca="false">I11-'LEIA-ME'!$B$4</f>
        <v>45</v>
      </c>
      <c r="K11" s="6" t="str">
        <f aca="false">IF(J11&lt;0,"Vencido",IF(J11&lt;=30,"Até 30 dias",IF(J11&lt;=60,"Até 60 dias","Vigente")))</f>
        <v>Até 60 dias</v>
      </c>
      <c r="L11" s="6" t="s">
        <v>461</v>
      </c>
      <c r="M11" s="10" t="n">
        <v>0.57</v>
      </c>
    </row>
    <row r="12" customFormat="false" ht="15" hidden="false" customHeight="false" outlineLevel="0" collapsed="false">
      <c r="A12" s="6" t="s">
        <v>462</v>
      </c>
      <c r="B12" s="6" t="s">
        <v>463</v>
      </c>
      <c r="C12" s="6" t="s">
        <v>459</v>
      </c>
      <c r="D12" s="6" t="s">
        <v>464</v>
      </c>
      <c r="E12" s="6" t="s">
        <v>64</v>
      </c>
      <c r="F12" s="6" t="s">
        <v>420</v>
      </c>
      <c r="G12" s="6" t="s">
        <v>443</v>
      </c>
      <c r="H12" s="9" t="n">
        <v>46162</v>
      </c>
      <c r="I12" s="9" t="n">
        <v>46527</v>
      </c>
      <c r="J12" s="8" t="n">
        <f aca="false">I12-'LEIA-ME'!$B$4</f>
        <v>216</v>
      </c>
      <c r="K12" s="6" t="str">
        <f aca="false">IF(J12&lt;0,"Vencido",IF(J12&lt;=30,"Até 30 dias",IF(J12&lt;=60,"Até 60 dias","Vigente")))</f>
        <v>Vigente</v>
      </c>
      <c r="L12" s="6" t="s">
        <v>461</v>
      </c>
      <c r="M12" s="10" t="n">
        <v>0.44</v>
      </c>
    </row>
    <row r="13" customFormat="false" ht="15" hidden="false" customHeight="false" outlineLevel="0" collapsed="false">
      <c r="A13" s="6" t="s">
        <v>416</v>
      </c>
      <c r="B13" s="6" t="s">
        <v>417</v>
      </c>
      <c r="C13" s="6" t="s">
        <v>418</v>
      </c>
      <c r="D13" s="6" t="s">
        <v>419</v>
      </c>
      <c r="E13" s="6" t="s">
        <v>69</v>
      </c>
      <c r="F13" s="6" t="s">
        <v>420</v>
      </c>
      <c r="G13" s="6" t="s">
        <v>421</v>
      </c>
      <c r="H13" s="9" t="n">
        <v>45589</v>
      </c>
      <c r="I13" s="9" t="n">
        <v>46319</v>
      </c>
      <c r="J13" s="8" t="n">
        <f aca="false">I13-'LEIA-ME'!$B$4</f>
        <v>8</v>
      </c>
      <c r="K13" s="6" t="str">
        <f aca="false">IF(J13&lt;0,"Vencido",IF(J13&lt;=30,"Até 30 dias",IF(J13&lt;=60,"Até 60 dias","Vigente")))</f>
        <v>Até 30 dias</v>
      </c>
      <c r="L13" s="6" t="s">
        <v>422</v>
      </c>
      <c r="M13" s="10" t="n">
        <v>1</v>
      </c>
    </row>
    <row r="14" customFormat="false" ht="15" hidden="false" customHeight="false" outlineLevel="0" collapsed="false">
      <c r="A14" s="6" t="s">
        <v>423</v>
      </c>
      <c r="B14" s="6" t="s">
        <v>424</v>
      </c>
      <c r="C14" s="6" t="s">
        <v>418</v>
      </c>
      <c r="D14" s="6" t="s">
        <v>425</v>
      </c>
      <c r="E14" s="6" t="s">
        <v>69</v>
      </c>
      <c r="F14" s="6" t="s">
        <v>426</v>
      </c>
      <c r="G14" s="6" t="s">
        <v>427</v>
      </c>
      <c r="H14" s="9" t="n">
        <v>46269</v>
      </c>
      <c r="I14" s="9" t="n">
        <v>46634</v>
      </c>
      <c r="J14" s="8" t="n">
        <f aca="false">I14-'LEIA-ME'!$B$4</f>
        <v>323</v>
      </c>
      <c r="K14" s="6" t="str">
        <f aca="false">IF(J14&lt;0,"Vencido",IF(J14&lt;=30,"Até 30 dias",IF(J14&lt;=60,"Até 60 dias","Vigente")))</f>
        <v>Vigente</v>
      </c>
      <c r="L14" s="6" t="s">
        <v>422</v>
      </c>
      <c r="M14" s="10" t="n">
        <v>1</v>
      </c>
    </row>
    <row r="15" customFormat="false" ht="15" hidden="false" customHeight="false" outlineLevel="0" collapsed="false">
      <c r="A15" s="6" t="s">
        <v>428</v>
      </c>
      <c r="B15" s="6" t="s">
        <v>429</v>
      </c>
      <c r="C15" s="6" t="s">
        <v>430</v>
      </c>
      <c r="D15" s="6" t="s">
        <v>431</v>
      </c>
      <c r="E15" s="6" t="s">
        <v>69</v>
      </c>
      <c r="F15" s="6" t="s">
        <v>420</v>
      </c>
      <c r="G15" s="6" t="s">
        <v>432</v>
      </c>
      <c r="H15" s="9" t="n">
        <v>46285</v>
      </c>
      <c r="I15" s="9" t="n">
        <v>46650</v>
      </c>
      <c r="J15" s="8" t="n">
        <f aca="false">I15-'LEIA-ME'!$B$4</f>
        <v>339</v>
      </c>
      <c r="K15" s="6" t="str">
        <f aca="false">IF(J15&lt;0,"Vencido",IF(J15&lt;=30,"Até 30 dias",IF(J15&lt;=60,"Até 60 dias","Vigente")))</f>
        <v>Vigente</v>
      </c>
      <c r="L15" s="6" t="s">
        <v>461</v>
      </c>
      <c r="M15" s="10" t="n">
        <v>0.7</v>
      </c>
    </row>
    <row r="16" customFormat="false" ht="15" hidden="false" customHeight="false" outlineLevel="0" collapsed="false">
      <c r="A16" s="6" t="s">
        <v>433</v>
      </c>
      <c r="B16" s="6" t="s">
        <v>434</v>
      </c>
      <c r="C16" s="6" t="s">
        <v>430</v>
      </c>
      <c r="D16" s="6" t="s">
        <v>435</v>
      </c>
      <c r="E16" s="6" t="s">
        <v>69</v>
      </c>
      <c r="F16" s="6" t="s">
        <v>436</v>
      </c>
      <c r="G16" s="6" t="s">
        <v>437</v>
      </c>
      <c r="H16" s="9" t="n">
        <v>45884</v>
      </c>
      <c r="I16" s="9" t="n">
        <v>46614</v>
      </c>
      <c r="J16" s="8" t="n">
        <f aca="false">I16-'LEIA-ME'!$B$4</f>
        <v>303</v>
      </c>
      <c r="K16" s="6" t="str">
        <f aca="false">IF(J16&lt;0,"Vencido",IF(J16&lt;=30,"Até 30 dias",IF(J16&lt;=60,"Até 60 dias","Vigente")))</f>
        <v>Vigente</v>
      </c>
      <c r="L16" s="6" t="s">
        <v>422</v>
      </c>
      <c r="M16" s="10" t="n">
        <v>1</v>
      </c>
    </row>
    <row r="17" customFormat="false" ht="15" hidden="false" customHeight="false" outlineLevel="0" collapsed="false">
      <c r="A17" s="6" t="s">
        <v>438</v>
      </c>
      <c r="B17" s="6" t="s">
        <v>439</v>
      </c>
      <c r="C17" s="6" t="s">
        <v>440</v>
      </c>
      <c r="D17" s="6" t="s">
        <v>441</v>
      </c>
      <c r="E17" s="6" t="s">
        <v>69</v>
      </c>
      <c r="F17" s="6" t="s">
        <v>442</v>
      </c>
      <c r="G17" s="6" t="s">
        <v>443</v>
      </c>
      <c r="H17" s="9" t="n">
        <v>46205</v>
      </c>
      <c r="I17" s="9" t="n">
        <v>46570</v>
      </c>
      <c r="J17" s="8" t="n">
        <f aca="false">I17-'LEIA-ME'!$B$4</f>
        <v>259</v>
      </c>
      <c r="K17" s="6" t="str">
        <f aca="false">IF(J17&lt;0,"Vencido",IF(J17&lt;=30,"Até 30 dias",IF(J17&lt;=60,"Até 60 dias","Vigente")))</f>
        <v>Vigente</v>
      </c>
      <c r="L17" s="6" t="s">
        <v>461</v>
      </c>
      <c r="M17" s="10" t="n">
        <v>0.72</v>
      </c>
    </row>
    <row r="18" customFormat="false" ht="15" hidden="false" customHeight="false" outlineLevel="0" collapsed="false">
      <c r="A18" s="6" t="s">
        <v>444</v>
      </c>
      <c r="B18" s="6" t="s">
        <v>445</v>
      </c>
      <c r="C18" s="6" t="s">
        <v>446</v>
      </c>
      <c r="D18" s="6" t="s">
        <v>419</v>
      </c>
      <c r="E18" s="6" t="s">
        <v>69</v>
      </c>
      <c r="F18" s="6" t="s">
        <v>447</v>
      </c>
      <c r="G18" s="6" t="s">
        <v>443</v>
      </c>
      <c r="H18" s="9" t="n">
        <v>45952</v>
      </c>
      <c r="I18" s="9" t="n">
        <v>46317</v>
      </c>
      <c r="J18" s="8" t="n">
        <f aca="false">I18-'LEIA-ME'!$B$4</f>
        <v>6</v>
      </c>
      <c r="K18" s="6" t="str">
        <f aca="false">IF(J18&lt;0,"Vencido",IF(J18&lt;=30,"Até 30 dias",IF(J18&lt;=60,"Até 60 dias","Vigente")))</f>
        <v>Até 30 dias</v>
      </c>
      <c r="L18" s="6" t="s">
        <v>422</v>
      </c>
      <c r="M18" s="10" t="n">
        <v>1</v>
      </c>
    </row>
    <row r="19" customFormat="false" ht="15" hidden="false" customHeight="false" outlineLevel="0" collapsed="false">
      <c r="A19" s="6" t="s">
        <v>448</v>
      </c>
      <c r="B19" s="6" t="s">
        <v>449</v>
      </c>
      <c r="C19" s="6" t="s">
        <v>446</v>
      </c>
      <c r="D19" s="6" t="s">
        <v>450</v>
      </c>
      <c r="E19" s="6" t="s">
        <v>69</v>
      </c>
      <c r="F19" s="6" t="s">
        <v>447</v>
      </c>
      <c r="G19" s="6" t="s">
        <v>443</v>
      </c>
      <c r="H19" s="9" t="n">
        <v>45861</v>
      </c>
      <c r="I19" s="9" t="n">
        <v>46226</v>
      </c>
      <c r="J19" s="8" t="n">
        <f aca="false">I19-'LEIA-ME'!$B$4</f>
        <v>-85</v>
      </c>
      <c r="K19" s="6" t="str">
        <f aca="false">IF(J19&lt;0,"Vencido",IF(J19&lt;=30,"Até 30 dias",IF(J19&lt;=60,"Até 60 dias","Vigente")))</f>
        <v>Vencido</v>
      </c>
      <c r="L19" s="6" t="s">
        <v>465</v>
      </c>
      <c r="M19" s="10" t="n">
        <v>0.18</v>
      </c>
    </row>
    <row r="20" customFormat="false" ht="15" hidden="false" customHeight="false" outlineLevel="0" collapsed="false">
      <c r="A20" s="6" t="s">
        <v>451</v>
      </c>
      <c r="B20" s="6" t="s">
        <v>452</v>
      </c>
      <c r="C20" s="6" t="s">
        <v>446</v>
      </c>
      <c r="D20" s="6" t="s">
        <v>441</v>
      </c>
      <c r="E20" s="6" t="s">
        <v>69</v>
      </c>
      <c r="F20" s="6" t="s">
        <v>442</v>
      </c>
      <c r="G20" s="6" t="s">
        <v>443</v>
      </c>
      <c r="H20" s="9" t="n">
        <v>46173</v>
      </c>
      <c r="I20" s="9" t="n">
        <v>46538</v>
      </c>
      <c r="J20" s="8" t="n">
        <f aca="false">I20-'LEIA-ME'!$B$4</f>
        <v>227</v>
      </c>
      <c r="K20" s="6" t="str">
        <f aca="false">IF(J20&lt;0,"Vencido",IF(J20&lt;=30,"Até 30 dias",IF(J20&lt;=60,"Até 60 dias","Vigente")))</f>
        <v>Vigente</v>
      </c>
      <c r="L20" s="6" t="s">
        <v>422</v>
      </c>
      <c r="M20" s="10" t="n">
        <v>1</v>
      </c>
    </row>
    <row r="21" customFormat="false" ht="15" hidden="false" customHeight="false" outlineLevel="0" collapsed="false">
      <c r="A21" s="6" t="s">
        <v>453</v>
      </c>
      <c r="B21" s="6" t="s">
        <v>454</v>
      </c>
      <c r="C21" s="6" t="s">
        <v>446</v>
      </c>
      <c r="D21" s="6" t="s">
        <v>455</v>
      </c>
      <c r="E21" s="6" t="s">
        <v>69</v>
      </c>
      <c r="F21" s="6" t="s">
        <v>456</v>
      </c>
      <c r="G21" s="6" t="s">
        <v>443</v>
      </c>
      <c r="H21" s="9" t="n">
        <v>46190</v>
      </c>
      <c r="I21" s="9" t="n">
        <v>46555</v>
      </c>
      <c r="J21" s="8" t="n">
        <f aca="false">I21-'LEIA-ME'!$B$4</f>
        <v>244</v>
      </c>
      <c r="K21" s="6" t="str">
        <f aca="false">IF(J21&lt;0,"Vencido",IF(J21&lt;=30,"Até 30 dias",IF(J21&lt;=60,"Até 60 dias","Vigente")))</f>
        <v>Vigente</v>
      </c>
      <c r="L21" s="6" t="s">
        <v>461</v>
      </c>
      <c r="M21" s="10" t="n">
        <v>0.82</v>
      </c>
    </row>
    <row r="22" customFormat="false" ht="15" hidden="false" customHeight="false" outlineLevel="0" collapsed="false">
      <c r="A22" s="6" t="s">
        <v>457</v>
      </c>
      <c r="B22" s="6" t="s">
        <v>458</v>
      </c>
      <c r="C22" s="6" t="s">
        <v>459</v>
      </c>
      <c r="D22" s="6" t="s">
        <v>425</v>
      </c>
      <c r="E22" s="6" t="s">
        <v>69</v>
      </c>
      <c r="F22" s="6" t="s">
        <v>460</v>
      </c>
      <c r="G22" s="6" t="s">
        <v>443</v>
      </c>
      <c r="H22" s="9" t="n">
        <v>46245</v>
      </c>
      <c r="I22" s="9" t="n">
        <v>46610</v>
      </c>
      <c r="J22" s="8" t="n">
        <f aca="false">I22-'LEIA-ME'!$B$4</f>
        <v>299</v>
      </c>
      <c r="K22" s="6" t="str">
        <f aca="false">IF(J22&lt;0,"Vencido",IF(J22&lt;=30,"Até 30 dias",IF(J22&lt;=60,"Até 60 dias","Vigente")))</f>
        <v>Vigente</v>
      </c>
      <c r="L22" s="6" t="s">
        <v>422</v>
      </c>
      <c r="M22" s="10" t="n">
        <v>1</v>
      </c>
    </row>
    <row r="23" customFormat="false" ht="15" hidden="false" customHeight="false" outlineLevel="0" collapsed="false">
      <c r="A23" s="6" t="s">
        <v>462</v>
      </c>
      <c r="B23" s="6" t="s">
        <v>463</v>
      </c>
      <c r="C23" s="6" t="s">
        <v>459</v>
      </c>
      <c r="D23" s="6" t="s">
        <v>464</v>
      </c>
      <c r="E23" s="6" t="s">
        <v>69</v>
      </c>
      <c r="F23" s="6" t="s">
        <v>420</v>
      </c>
      <c r="G23" s="6" t="s">
        <v>443</v>
      </c>
      <c r="H23" s="9" t="n">
        <v>45946</v>
      </c>
      <c r="I23" s="9" t="n">
        <v>46311</v>
      </c>
      <c r="J23" s="8" t="n">
        <f aca="false">I23-'LEIA-ME'!$B$4</f>
        <v>0</v>
      </c>
      <c r="K23" s="6" t="str">
        <f aca="false">IF(J23&lt;0,"Vencido",IF(J23&lt;=30,"Até 30 dias",IF(J23&lt;=60,"Até 60 dias","Vigente")))</f>
        <v>Até 30 dias</v>
      </c>
      <c r="L23" s="6" t="s">
        <v>461</v>
      </c>
      <c r="M23" s="10" t="n">
        <v>0.56</v>
      </c>
    </row>
    <row r="24" customFormat="false" ht="15" hidden="false" customHeight="false" outlineLevel="0" collapsed="false">
      <c r="A24" s="6" t="s">
        <v>466</v>
      </c>
      <c r="B24" s="6" t="s">
        <v>467</v>
      </c>
      <c r="C24" s="6" t="s">
        <v>418</v>
      </c>
      <c r="D24" s="6" t="s">
        <v>468</v>
      </c>
      <c r="E24" s="6" t="s">
        <v>69</v>
      </c>
      <c r="F24" s="6" t="s">
        <v>420</v>
      </c>
      <c r="G24" s="6" t="s">
        <v>469</v>
      </c>
      <c r="H24" s="9" t="n">
        <v>46158</v>
      </c>
      <c r="I24" s="9" t="n">
        <v>46338</v>
      </c>
      <c r="J24" s="8" t="n">
        <f aca="false">I24-'LEIA-ME'!$B$4</f>
        <v>27</v>
      </c>
      <c r="K24" s="6" t="str">
        <f aca="false">IF(J24&lt;0,"Vencido",IF(J24&lt;=30,"Até 30 dias",IF(J24&lt;=60,"Até 60 dias","Vigente")))</f>
        <v>Até 30 dias</v>
      </c>
      <c r="L24" s="6" t="s">
        <v>461</v>
      </c>
      <c r="M24" s="10" t="n">
        <v>0.6</v>
      </c>
    </row>
    <row r="25" customFormat="false" ht="15" hidden="false" customHeight="false" outlineLevel="0" collapsed="false">
      <c r="A25" s="6" t="s">
        <v>416</v>
      </c>
      <c r="B25" s="6" t="s">
        <v>417</v>
      </c>
      <c r="C25" s="6" t="s">
        <v>418</v>
      </c>
      <c r="D25" s="6" t="s">
        <v>419</v>
      </c>
      <c r="E25" s="6" t="s">
        <v>73</v>
      </c>
      <c r="F25" s="6" t="s">
        <v>420</v>
      </c>
      <c r="G25" s="6" t="s">
        <v>421</v>
      </c>
      <c r="H25" s="9" t="n">
        <v>45913</v>
      </c>
      <c r="I25" s="9" t="n">
        <v>46643</v>
      </c>
      <c r="J25" s="8" t="n">
        <f aca="false">I25-'LEIA-ME'!$B$4</f>
        <v>332</v>
      </c>
      <c r="K25" s="6" t="str">
        <f aca="false">IF(J25&lt;0,"Vencido",IF(J25&lt;=30,"Até 30 dias",IF(J25&lt;=60,"Até 60 dias","Vigente")))</f>
        <v>Vigente</v>
      </c>
      <c r="L25" s="6" t="s">
        <v>422</v>
      </c>
      <c r="M25" s="10" t="n">
        <v>1</v>
      </c>
    </row>
    <row r="26" customFormat="false" ht="15" hidden="false" customHeight="false" outlineLevel="0" collapsed="false">
      <c r="A26" s="6" t="s">
        <v>423</v>
      </c>
      <c r="B26" s="6" t="s">
        <v>424</v>
      </c>
      <c r="C26" s="6" t="s">
        <v>418</v>
      </c>
      <c r="D26" s="6" t="s">
        <v>425</v>
      </c>
      <c r="E26" s="6" t="s">
        <v>73</v>
      </c>
      <c r="F26" s="6" t="s">
        <v>426</v>
      </c>
      <c r="G26" s="6" t="s">
        <v>427</v>
      </c>
      <c r="H26" s="9" t="n">
        <v>46152</v>
      </c>
      <c r="I26" s="9" t="n">
        <v>46517</v>
      </c>
      <c r="J26" s="8" t="n">
        <f aca="false">I26-'LEIA-ME'!$B$4</f>
        <v>206</v>
      </c>
      <c r="K26" s="6" t="str">
        <f aca="false">IF(J26&lt;0,"Vencido",IF(J26&lt;=30,"Até 30 dias",IF(J26&lt;=60,"Até 60 dias","Vigente")))</f>
        <v>Vigente</v>
      </c>
      <c r="L26" s="6" t="s">
        <v>422</v>
      </c>
      <c r="M26" s="10" t="n">
        <v>1</v>
      </c>
    </row>
    <row r="27" customFormat="false" ht="15" hidden="false" customHeight="false" outlineLevel="0" collapsed="false">
      <c r="A27" s="6" t="s">
        <v>428</v>
      </c>
      <c r="B27" s="6" t="s">
        <v>429</v>
      </c>
      <c r="C27" s="6" t="s">
        <v>430</v>
      </c>
      <c r="D27" s="6" t="s">
        <v>431</v>
      </c>
      <c r="E27" s="6" t="s">
        <v>73</v>
      </c>
      <c r="F27" s="6" t="s">
        <v>420</v>
      </c>
      <c r="G27" s="6" t="s">
        <v>432</v>
      </c>
      <c r="H27" s="9" t="n">
        <v>45957</v>
      </c>
      <c r="I27" s="9" t="n">
        <v>46322</v>
      </c>
      <c r="J27" s="8" t="n">
        <f aca="false">I27-'LEIA-ME'!$B$4</f>
        <v>11</v>
      </c>
      <c r="K27" s="6" t="str">
        <f aca="false">IF(J27&lt;0,"Vencido",IF(J27&lt;=30,"Até 30 dias",IF(J27&lt;=60,"Até 60 dias","Vigente")))</f>
        <v>Até 30 dias</v>
      </c>
      <c r="L27" s="6" t="s">
        <v>422</v>
      </c>
      <c r="M27" s="10" t="n">
        <v>1</v>
      </c>
    </row>
    <row r="28" customFormat="false" ht="15" hidden="false" customHeight="false" outlineLevel="0" collapsed="false">
      <c r="A28" s="6" t="s">
        <v>433</v>
      </c>
      <c r="B28" s="6" t="s">
        <v>434</v>
      </c>
      <c r="C28" s="6" t="s">
        <v>430</v>
      </c>
      <c r="D28" s="6" t="s">
        <v>435</v>
      </c>
      <c r="E28" s="6" t="s">
        <v>73</v>
      </c>
      <c r="F28" s="6" t="s">
        <v>436</v>
      </c>
      <c r="G28" s="6" t="s">
        <v>437</v>
      </c>
      <c r="H28" s="9" t="n">
        <v>45914</v>
      </c>
      <c r="I28" s="9" t="n">
        <v>46644</v>
      </c>
      <c r="J28" s="8" t="n">
        <f aca="false">I28-'LEIA-ME'!$B$4</f>
        <v>333</v>
      </c>
      <c r="K28" s="6" t="str">
        <f aca="false">IF(J28&lt;0,"Vencido",IF(J28&lt;=30,"Até 30 dias",IF(J28&lt;=60,"Até 60 dias","Vigente")))</f>
        <v>Vigente</v>
      </c>
      <c r="L28" s="6" t="s">
        <v>422</v>
      </c>
      <c r="M28" s="10" t="n">
        <v>1</v>
      </c>
    </row>
    <row r="29" customFormat="false" ht="15" hidden="false" customHeight="false" outlineLevel="0" collapsed="false">
      <c r="A29" s="6" t="s">
        <v>438</v>
      </c>
      <c r="B29" s="6" t="s">
        <v>439</v>
      </c>
      <c r="C29" s="6" t="s">
        <v>440</v>
      </c>
      <c r="D29" s="6" t="s">
        <v>441</v>
      </c>
      <c r="E29" s="6" t="s">
        <v>73</v>
      </c>
      <c r="F29" s="6" t="s">
        <v>442</v>
      </c>
      <c r="G29" s="6" t="s">
        <v>443</v>
      </c>
      <c r="H29" s="9" t="n">
        <v>46036</v>
      </c>
      <c r="I29" s="9" t="n">
        <v>46401</v>
      </c>
      <c r="J29" s="8" t="n">
        <f aca="false">I29-'LEIA-ME'!$B$4</f>
        <v>90</v>
      </c>
      <c r="K29" s="6" t="str">
        <f aca="false">IF(J29&lt;0,"Vencido",IF(J29&lt;=30,"Até 30 dias",IF(J29&lt;=60,"Até 60 dias","Vigente")))</f>
        <v>Vigente</v>
      </c>
      <c r="L29" s="6" t="s">
        <v>461</v>
      </c>
      <c r="M29" s="10" t="n">
        <v>0.39</v>
      </c>
    </row>
    <row r="30" customFormat="false" ht="15" hidden="false" customHeight="false" outlineLevel="0" collapsed="false">
      <c r="A30" s="6" t="s">
        <v>444</v>
      </c>
      <c r="B30" s="6" t="s">
        <v>445</v>
      </c>
      <c r="C30" s="6" t="s">
        <v>446</v>
      </c>
      <c r="D30" s="6" t="s">
        <v>419</v>
      </c>
      <c r="E30" s="6" t="s">
        <v>73</v>
      </c>
      <c r="F30" s="6" t="s">
        <v>447</v>
      </c>
      <c r="G30" s="6" t="s">
        <v>443</v>
      </c>
      <c r="H30" s="9" t="n">
        <v>46060</v>
      </c>
      <c r="I30" s="9" t="n">
        <v>46425</v>
      </c>
      <c r="J30" s="8" t="n">
        <f aca="false">I30-'LEIA-ME'!$B$4</f>
        <v>114</v>
      </c>
      <c r="K30" s="6" t="str">
        <f aca="false">IF(J30&lt;0,"Vencido",IF(J30&lt;=30,"Até 30 dias",IF(J30&lt;=60,"Até 60 dias","Vigente")))</f>
        <v>Vigente</v>
      </c>
      <c r="L30" s="6" t="s">
        <v>422</v>
      </c>
      <c r="M30" s="10" t="n">
        <v>1</v>
      </c>
    </row>
    <row r="31" customFormat="false" ht="15" hidden="false" customHeight="false" outlineLevel="0" collapsed="false">
      <c r="A31" s="6" t="s">
        <v>448</v>
      </c>
      <c r="B31" s="6" t="s">
        <v>449</v>
      </c>
      <c r="C31" s="6" t="s">
        <v>446</v>
      </c>
      <c r="D31" s="6" t="s">
        <v>450</v>
      </c>
      <c r="E31" s="6" t="s">
        <v>73</v>
      </c>
      <c r="F31" s="6" t="s">
        <v>447</v>
      </c>
      <c r="G31" s="6" t="s">
        <v>443</v>
      </c>
      <c r="H31" s="9" t="n">
        <v>45895</v>
      </c>
      <c r="I31" s="9" t="n">
        <v>46260</v>
      </c>
      <c r="J31" s="8" t="n">
        <f aca="false">I31-'LEIA-ME'!$B$4</f>
        <v>-51</v>
      </c>
      <c r="K31" s="6" t="str">
        <f aca="false">IF(J31&lt;0,"Vencido",IF(J31&lt;=30,"Até 30 dias",IF(J31&lt;=60,"Até 60 dias","Vigente")))</f>
        <v>Vencido</v>
      </c>
      <c r="L31" s="6" t="s">
        <v>465</v>
      </c>
      <c r="M31" s="10" t="n">
        <v>0.06</v>
      </c>
    </row>
    <row r="32" customFormat="false" ht="15" hidden="false" customHeight="false" outlineLevel="0" collapsed="false">
      <c r="A32" s="6" t="s">
        <v>451</v>
      </c>
      <c r="B32" s="6" t="s">
        <v>452</v>
      </c>
      <c r="C32" s="6" t="s">
        <v>446</v>
      </c>
      <c r="D32" s="6" t="s">
        <v>441</v>
      </c>
      <c r="E32" s="6" t="s">
        <v>73</v>
      </c>
      <c r="F32" s="6" t="s">
        <v>442</v>
      </c>
      <c r="G32" s="6" t="s">
        <v>443</v>
      </c>
      <c r="H32" s="9" t="n">
        <v>46252</v>
      </c>
      <c r="I32" s="9" t="n">
        <v>46617</v>
      </c>
      <c r="J32" s="8" t="n">
        <f aca="false">I32-'LEIA-ME'!$B$4</f>
        <v>306</v>
      </c>
      <c r="K32" s="6" t="str">
        <f aca="false">IF(J32&lt;0,"Vencido",IF(J32&lt;=30,"Até 30 dias",IF(J32&lt;=60,"Até 60 dias","Vigente")))</f>
        <v>Vigente</v>
      </c>
      <c r="L32" s="6" t="s">
        <v>461</v>
      </c>
      <c r="M32" s="10" t="n">
        <v>0.47</v>
      </c>
    </row>
    <row r="33" customFormat="false" ht="15" hidden="false" customHeight="false" outlineLevel="0" collapsed="false">
      <c r="A33" s="6" t="s">
        <v>453</v>
      </c>
      <c r="B33" s="6" t="s">
        <v>454</v>
      </c>
      <c r="C33" s="6" t="s">
        <v>446</v>
      </c>
      <c r="D33" s="6" t="s">
        <v>455</v>
      </c>
      <c r="E33" s="6" t="s">
        <v>73</v>
      </c>
      <c r="F33" s="6" t="s">
        <v>456</v>
      </c>
      <c r="G33" s="6" t="s">
        <v>443</v>
      </c>
      <c r="H33" s="9" t="n">
        <v>45970</v>
      </c>
      <c r="I33" s="9" t="n">
        <v>46335</v>
      </c>
      <c r="J33" s="8" t="n">
        <f aca="false">I33-'LEIA-ME'!$B$4</f>
        <v>24</v>
      </c>
      <c r="K33" s="6" t="str">
        <f aca="false">IF(J33&lt;0,"Vencido",IF(J33&lt;=30,"Até 30 dias",IF(J33&lt;=60,"Até 60 dias","Vigente")))</f>
        <v>Até 30 dias</v>
      </c>
      <c r="L33" s="6" t="s">
        <v>461</v>
      </c>
      <c r="M33" s="10" t="n">
        <v>0.4</v>
      </c>
    </row>
    <row r="34" customFormat="false" ht="15" hidden="false" customHeight="false" outlineLevel="0" collapsed="false">
      <c r="A34" s="6" t="s">
        <v>457</v>
      </c>
      <c r="B34" s="6" t="s">
        <v>458</v>
      </c>
      <c r="C34" s="6" t="s">
        <v>459</v>
      </c>
      <c r="D34" s="6" t="s">
        <v>425</v>
      </c>
      <c r="E34" s="6" t="s">
        <v>73</v>
      </c>
      <c r="F34" s="6" t="s">
        <v>460</v>
      </c>
      <c r="G34" s="6" t="s">
        <v>443</v>
      </c>
      <c r="H34" s="9" t="n">
        <v>46137</v>
      </c>
      <c r="I34" s="9" t="n">
        <v>46502</v>
      </c>
      <c r="J34" s="8" t="n">
        <f aca="false">I34-'LEIA-ME'!$B$4</f>
        <v>191</v>
      </c>
      <c r="K34" s="6" t="str">
        <f aca="false">IF(J34&lt;0,"Vencido",IF(J34&lt;=30,"Até 30 dias",IF(J34&lt;=60,"Até 60 dias","Vigente")))</f>
        <v>Vigente</v>
      </c>
      <c r="L34" s="6" t="s">
        <v>461</v>
      </c>
      <c r="M34" s="10" t="n">
        <v>0.79</v>
      </c>
    </row>
    <row r="35" customFormat="false" ht="15" hidden="false" customHeight="false" outlineLevel="0" collapsed="false">
      <c r="A35" s="6" t="s">
        <v>462</v>
      </c>
      <c r="B35" s="6" t="s">
        <v>463</v>
      </c>
      <c r="C35" s="6" t="s">
        <v>459</v>
      </c>
      <c r="D35" s="6" t="s">
        <v>464</v>
      </c>
      <c r="E35" s="6" t="s">
        <v>73</v>
      </c>
      <c r="F35" s="6" t="s">
        <v>420</v>
      </c>
      <c r="G35" s="6" t="s">
        <v>443</v>
      </c>
      <c r="H35" s="9" t="n">
        <v>46276</v>
      </c>
      <c r="I35" s="9" t="n">
        <v>46641</v>
      </c>
      <c r="J35" s="8" t="n">
        <f aca="false">I35-'LEIA-ME'!$B$4</f>
        <v>330</v>
      </c>
      <c r="K35" s="6" t="str">
        <f aca="false">IF(J35&lt;0,"Vencido",IF(J35&lt;=30,"Até 30 dias",IF(J35&lt;=60,"Até 60 dias","Vigente")))</f>
        <v>Vigente</v>
      </c>
      <c r="L35" s="6" t="s">
        <v>422</v>
      </c>
      <c r="M35" s="10" t="n">
        <v>1</v>
      </c>
    </row>
    <row r="36" customFormat="false" ht="15" hidden="false" customHeight="false" outlineLevel="0" collapsed="false">
      <c r="A36" s="6" t="s">
        <v>416</v>
      </c>
      <c r="B36" s="6" t="s">
        <v>417</v>
      </c>
      <c r="C36" s="6" t="s">
        <v>418</v>
      </c>
      <c r="D36" s="6" t="s">
        <v>419</v>
      </c>
      <c r="E36" s="6" t="s">
        <v>77</v>
      </c>
      <c r="F36" s="6" t="s">
        <v>420</v>
      </c>
      <c r="G36" s="6" t="s">
        <v>421</v>
      </c>
      <c r="H36" s="9" t="n">
        <v>46260</v>
      </c>
      <c r="I36" s="9" t="n">
        <v>46990</v>
      </c>
      <c r="J36" s="8" t="n">
        <f aca="false">I36-'LEIA-ME'!$B$4</f>
        <v>679</v>
      </c>
      <c r="K36" s="6" t="str">
        <f aca="false">IF(J36&lt;0,"Vencido",IF(J36&lt;=30,"Até 30 dias",IF(J36&lt;=60,"Até 60 dias","Vigente")))</f>
        <v>Vigente</v>
      </c>
      <c r="L36" s="6" t="s">
        <v>422</v>
      </c>
      <c r="M36" s="10" t="n">
        <v>1</v>
      </c>
    </row>
    <row r="37" customFormat="false" ht="15" hidden="false" customHeight="false" outlineLevel="0" collapsed="false">
      <c r="A37" s="6" t="s">
        <v>423</v>
      </c>
      <c r="B37" s="6" t="s">
        <v>424</v>
      </c>
      <c r="C37" s="6" t="s">
        <v>418</v>
      </c>
      <c r="D37" s="6" t="s">
        <v>425</v>
      </c>
      <c r="E37" s="6" t="s">
        <v>77</v>
      </c>
      <c r="F37" s="6" t="s">
        <v>426</v>
      </c>
      <c r="G37" s="6" t="s">
        <v>427</v>
      </c>
      <c r="H37" s="9" t="n">
        <v>46001</v>
      </c>
      <c r="I37" s="9" t="n">
        <v>46366</v>
      </c>
      <c r="J37" s="8" t="n">
        <f aca="false">I37-'LEIA-ME'!$B$4</f>
        <v>55</v>
      </c>
      <c r="K37" s="6" t="str">
        <f aca="false">IF(J37&lt;0,"Vencido",IF(J37&lt;=30,"Até 30 dias",IF(J37&lt;=60,"Até 60 dias","Vigente")))</f>
        <v>Até 60 dias</v>
      </c>
      <c r="L37" s="6" t="s">
        <v>422</v>
      </c>
      <c r="M37" s="10" t="n">
        <v>1</v>
      </c>
    </row>
    <row r="38" customFormat="false" ht="15" hidden="false" customHeight="false" outlineLevel="0" collapsed="false">
      <c r="A38" s="6" t="s">
        <v>428</v>
      </c>
      <c r="B38" s="6" t="s">
        <v>429</v>
      </c>
      <c r="C38" s="6" t="s">
        <v>430</v>
      </c>
      <c r="D38" s="6" t="s">
        <v>431</v>
      </c>
      <c r="E38" s="6" t="s">
        <v>77</v>
      </c>
      <c r="F38" s="6" t="s">
        <v>420</v>
      </c>
      <c r="G38" s="6" t="s">
        <v>432</v>
      </c>
      <c r="H38" s="9" t="n">
        <v>46040</v>
      </c>
      <c r="I38" s="9" t="n">
        <v>46405</v>
      </c>
      <c r="J38" s="8" t="n">
        <f aca="false">I38-'LEIA-ME'!$B$4</f>
        <v>94</v>
      </c>
      <c r="K38" s="6" t="str">
        <f aca="false">IF(J38&lt;0,"Vencido",IF(J38&lt;=30,"Até 30 dias",IF(J38&lt;=60,"Até 60 dias","Vigente")))</f>
        <v>Vigente</v>
      </c>
      <c r="L38" s="6" t="s">
        <v>422</v>
      </c>
      <c r="M38" s="10" t="n">
        <v>1</v>
      </c>
    </row>
    <row r="39" customFormat="false" ht="15" hidden="false" customHeight="false" outlineLevel="0" collapsed="false">
      <c r="A39" s="6" t="s">
        <v>433</v>
      </c>
      <c r="B39" s="6" t="s">
        <v>434</v>
      </c>
      <c r="C39" s="6" t="s">
        <v>430</v>
      </c>
      <c r="D39" s="6" t="s">
        <v>435</v>
      </c>
      <c r="E39" s="6" t="s">
        <v>77</v>
      </c>
      <c r="F39" s="6" t="s">
        <v>436</v>
      </c>
      <c r="G39" s="6" t="s">
        <v>437</v>
      </c>
      <c r="H39" s="9" t="n">
        <v>45604</v>
      </c>
      <c r="I39" s="9" t="n">
        <v>46334</v>
      </c>
      <c r="J39" s="8" t="n">
        <f aca="false">I39-'LEIA-ME'!$B$4</f>
        <v>23</v>
      </c>
      <c r="K39" s="6" t="str">
        <f aca="false">IF(J39&lt;0,"Vencido",IF(J39&lt;=30,"Até 30 dias",IF(J39&lt;=60,"Até 60 dias","Vigente")))</f>
        <v>Até 30 dias</v>
      </c>
      <c r="L39" s="6" t="s">
        <v>422</v>
      </c>
      <c r="M39" s="10" t="n">
        <v>1</v>
      </c>
    </row>
    <row r="40" customFormat="false" ht="15" hidden="false" customHeight="false" outlineLevel="0" collapsed="false">
      <c r="A40" s="6" t="s">
        <v>438</v>
      </c>
      <c r="B40" s="6" t="s">
        <v>439</v>
      </c>
      <c r="C40" s="6" t="s">
        <v>440</v>
      </c>
      <c r="D40" s="6" t="s">
        <v>441</v>
      </c>
      <c r="E40" s="6" t="s">
        <v>77</v>
      </c>
      <c r="F40" s="6" t="s">
        <v>442</v>
      </c>
      <c r="G40" s="6" t="s">
        <v>443</v>
      </c>
      <c r="H40" s="9" t="n">
        <v>46063</v>
      </c>
      <c r="I40" s="9" t="n">
        <v>46428</v>
      </c>
      <c r="J40" s="8" t="n">
        <f aca="false">I40-'LEIA-ME'!$B$4</f>
        <v>117</v>
      </c>
      <c r="K40" s="6" t="str">
        <f aca="false">IF(J40&lt;0,"Vencido",IF(J40&lt;=30,"Até 30 dias",IF(J40&lt;=60,"Até 60 dias","Vigente")))</f>
        <v>Vigente</v>
      </c>
      <c r="L40" s="6" t="s">
        <v>422</v>
      </c>
      <c r="M40" s="10" t="n">
        <v>1</v>
      </c>
    </row>
    <row r="41" customFormat="false" ht="15" hidden="false" customHeight="false" outlineLevel="0" collapsed="false">
      <c r="A41" s="6" t="s">
        <v>444</v>
      </c>
      <c r="B41" s="6" t="s">
        <v>445</v>
      </c>
      <c r="C41" s="6" t="s">
        <v>446</v>
      </c>
      <c r="D41" s="6" t="s">
        <v>419</v>
      </c>
      <c r="E41" s="6" t="s">
        <v>77</v>
      </c>
      <c r="F41" s="6" t="s">
        <v>447</v>
      </c>
      <c r="G41" s="6" t="s">
        <v>443</v>
      </c>
      <c r="H41" s="9" t="n">
        <v>46225</v>
      </c>
      <c r="I41" s="9" t="n">
        <v>46590</v>
      </c>
      <c r="J41" s="8" t="n">
        <f aca="false">I41-'LEIA-ME'!$B$4</f>
        <v>279</v>
      </c>
      <c r="K41" s="6" t="str">
        <f aca="false">IF(J41&lt;0,"Vencido",IF(J41&lt;=30,"Até 30 dias",IF(J41&lt;=60,"Até 60 dias","Vigente")))</f>
        <v>Vigente</v>
      </c>
      <c r="L41" s="6" t="s">
        <v>422</v>
      </c>
      <c r="M41" s="10" t="n">
        <v>1</v>
      </c>
    </row>
    <row r="42" customFormat="false" ht="15" hidden="false" customHeight="false" outlineLevel="0" collapsed="false">
      <c r="A42" s="6" t="s">
        <v>448</v>
      </c>
      <c r="B42" s="6" t="s">
        <v>449</v>
      </c>
      <c r="C42" s="6" t="s">
        <v>446</v>
      </c>
      <c r="D42" s="6" t="s">
        <v>450</v>
      </c>
      <c r="E42" s="6" t="s">
        <v>77</v>
      </c>
      <c r="F42" s="6" t="s">
        <v>447</v>
      </c>
      <c r="G42" s="6" t="s">
        <v>443</v>
      </c>
      <c r="H42" s="9" t="n">
        <v>46144</v>
      </c>
      <c r="I42" s="9" t="n">
        <v>46509</v>
      </c>
      <c r="J42" s="8" t="n">
        <f aca="false">I42-'LEIA-ME'!$B$4</f>
        <v>198</v>
      </c>
      <c r="K42" s="6" t="str">
        <f aca="false">IF(J42&lt;0,"Vencido",IF(J42&lt;=30,"Até 30 dias",IF(J42&lt;=60,"Até 60 dias","Vigente")))</f>
        <v>Vigente</v>
      </c>
      <c r="L42" s="6" t="s">
        <v>461</v>
      </c>
      <c r="M42" s="10" t="n">
        <v>0.85</v>
      </c>
    </row>
    <row r="43" customFormat="false" ht="15" hidden="false" customHeight="false" outlineLevel="0" collapsed="false">
      <c r="A43" s="6" t="s">
        <v>451</v>
      </c>
      <c r="B43" s="6" t="s">
        <v>452</v>
      </c>
      <c r="C43" s="6" t="s">
        <v>446</v>
      </c>
      <c r="D43" s="6" t="s">
        <v>441</v>
      </c>
      <c r="E43" s="6" t="s">
        <v>77</v>
      </c>
      <c r="F43" s="6" t="s">
        <v>442</v>
      </c>
      <c r="G43" s="6" t="s">
        <v>443</v>
      </c>
      <c r="H43" s="9" t="n">
        <v>45879</v>
      </c>
      <c r="I43" s="9" t="n">
        <v>46244</v>
      </c>
      <c r="J43" s="8" t="n">
        <f aca="false">I43-'LEIA-ME'!$B$4</f>
        <v>-67</v>
      </c>
      <c r="K43" s="6" t="str">
        <f aca="false">IF(J43&lt;0,"Vencido",IF(J43&lt;=30,"Até 30 dias",IF(J43&lt;=60,"Até 60 dias","Vigente")))</f>
        <v>Vencido</v>
      </c>
      <c r="L43" s="6" t="s">
        <v>461</v>
      </c>
      <c r="M43" s="10" t="n">
        <v>0.5</v>
      </c>
    </row>
    <row r="44" customFormat="false" ht="15" hidden="false" customHeight="false" outlineLevel="0" collapsed="false">
      <c r="A44" s="6" t="s">
        <v>453</v>
      </c>
      <c r="B44" s="6" t="s">
        <v>454</v>
      </c>
      <c r="C44" s="6" t="s">
        <v>446</v>
      </c>
      <c r="D44" s="6" t="s">
        <v>455</v>
      </c>
      <c r="E44" s="6" t="s">
        <v>77</v>
      </c>
      <c r="F44" s="6" t="s">
        <v>456</v>
      </c>
      <c r="G44" s="6" t="s">
        <v>443</v>
      </c>
      <c r="H44" s="9" t="n">
        <v>46150</v>
      </c>
      <c r="I44" s="9" t="n">
        <v>46515</v>
      </c>
      <c r="J44" s="8" t="n">
        <f aca="false">I44-'LEIA-ME'!$B$4</f>
        <v>204</v>
      </c>
      <c r="K44" s="6" t="str">
        <f aca="false">IF(J44&lt;0,"Vencido",IF(J44&lt;=30,"Até 30 dias",IF(J44&lt;=60,"Até 60 dias","Vigente")))</f>
        <v>Vigente</v>
      </c>
      <c r="L44" s="6" t="s">
        <v>461</v>
      </c>
      <c r="M44" s="10" t="n">
        <v>0.58</v>
      </c>
    </row>
    <row r="45" customFormat="false" ht="15" hidden="false" customHeight="false" outlineLevel="0" collapsed="false">
      <c r="A45" s="6" t="s">
        <v>457</v>
      </c>
      <c r="B45" s="6" t="s">
        <v>458</v>
      </c>
      <c r="C45" s="6" t="s">
        <v>459</v>
      </c>
      <c r="D45" s="6" t="s">
        <v>425</v>
      </c>
      <c r="E45" s="6" t="s">
        <v>77</v>
      </c>
      <c r="F45" s="6" t="s">
        <v>460</v>
      </c>
      <c r="G45" s="6" t="s">
        <v>443</v>
      </c>
      <c r="H45" s="9" t="n">
        <v>46003</v>
      </c>
      <c r="I45" s="9" t="n">
        <v>46368</v>
      </c>
      <c r="J45" s="8" t="n">
        <f aca="false">I45-'LEIA-ME'!$B$4</f>
        <v>57</v>
      </c>
      <c r="K45" s="6" t="str">
        <f aca="false">IF(J45&lt;0,"Vencido",IF(J45&lt;=30,"Até 30 dias",IF(J45&lt;=60,"Até 60 dias","Vigente")))</f>
        <v>Até 60 dias</v>
      </c>
      <c r="L45" s="6" t="s">
        <v>461</v>
      </c>
      <c r="M45" s="10" t="n">
        <v>0.8</v>
      </c>
    </row>
    <row r="46" customFormat="false" ht="15" hidden="false" customHeight="false" outlineLevel="0" collapsed="false">
      <c r="A46" s="6" t="s">
        <v>462</v>
      </c>
      <c r="B46" s="6" t="s">
        <v>463</v>
      </c>
      <c r="C46" s="6" t="s">
        <v>459</v>
      </c>
      <c r="D46" s="6" t="s">
        <v>464</v>
      </c>
      <c r="E46" s="6" t="s">
        <v>77</v>
      </c>
      <c r="F46" s="6" t="s">
        <v>420</v>
      </c>
      <c r="G46" s="6" t="s">
        <v>443</v>
      </c>
      <c r="H46" s="9" t="n">
        <v>46237</v>
      </c>
      <c r="I46" s="9" t="n">
        <v>46602</v>
      </c>
      <c r="J46" s="8" t="n">
        <f aca="false">I46-'LEIA-ME'!$B$4</f>
        <v>291</v>
      </c>
      <c r="K46" s="6" t="str">
        <f aca="false">IF(J46&lt;0,"Vencido",IF(J46&lt;=30,"Até 30 dias",IF(J46&lt;=60,"Até 60 dias","Vigente")))</f>
        <v>Vigente</v>
      </c>
      <c r="L46" s="6" t="s">
        <v>461</v>
      </c>
      <c r="M46" s="10" t="n">
        <v>0.79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56</v>
      </c>
      <c r="B1" s="3" t="s">
        <v>470</v>
      </c>
      <c r="C1" s="3" t="s">
        <v>471</v>
      </c>
      <c r="D1" s="3" t="s">
        <v>472</v>
      </c>
      <c r="E1" s="3" t="s">
        <v>473</v>
      </c>
    </row>
    <row r="2" customFormat="false" ht="15" hidden="false" customHeight="false" outlineLevel="0" collapsed="false">
      <c r="A2" s="6" t="s">
        <v>64</v>
      </c>
      <c r="B2" s="6" t="s">
        <v>474</v>
      </c>
      <c r="C2" s="11" t="n">
        <v>8.45</v>
      </c>
      <c r="D2" s="11" t="n">
        <v>8.33</v>
      </c>
      <c r="E2" s="11" t="n">
        <f aca="false">D2-C2</f>
        <v>-0.119999999999999</v>
      </c>
    </row>
    <row r="3" customFormat="false" ht="15" hidden="false" customHeight="false" outlineLevel="0" collapsed="false">
      <c r="A3" s="6" t="s">
        <v>64</v>
      </c>
      <c r="B3" s="6" t="s">
        <v>475</v>
      </c>
      <c r="C3" s="11" t="n">
        <v>7.89</v>
      </c>
      <c r="D3" s="11" t="n">
        <v>8.25</v>
      </c>
      <c r="E3" s="11" t="n">
        <f aca="false">D3-C3</f>
        <v>0.36</v>
      </c>
    </row>
    <row r="4" customFormat="false" ht="15" hidden="false" customHeight="false" outlineLevel="0" collapsed="false">
      <c r="A4" s="6" t="s">
        <v>64</v>
      </c>
      <c r="B4" s="6" t="s">
        <v>476</v>
      </c>
      <c r="C4" s="11" t="n">
        <v>7.05</v>
      </c>
      <c r="D4" s="11" t="n">
        <v>6.89</v>
      </c>
      <c r="E4" s="11" t="n">
        <f aca="false">D4-C4</f>
        <v>-0.16</v>
      </c>
    </row>
    <row r="5" customFormat="false" ht="15" hidden="false" customHeight="false" outlineLevel="0" collapsed="false">
      <c r="A5" s="6" t="s">
        <v>64</v>
      </c>
      <c r="B5" s="6" t="s">
        <v>477</v>
      </c>
      <c r="C5" s="11" t="n">
        <v>7.52</v>
      </c>
      <c r="D5" s="11" t="n">
        <v>7.31</v>
      </c>
      <c r="E5" s="11" t="n">
        <f aca="false">D5-C5</f>
        <v>-0.21</v>
      </c>
    </row>
    <row r="6" customFormat="false" ht="15" hidden="false" customHeight="false" outlineLevel="0" collapsed="false">
      <c r="A6" s="6" t="s">
        <v>64</v>
      </c>
      <c r="B6" s="6" t="s">
        <v>478</v>
      </c>
      <c r="C6" s="11" t="n">
        <v>7.41</v>
      </c>
      <c r="D6" s="11" t="n">
        <v>8</v>
      </c>
      <c r="E6" s="11" t="n">
        <f aca="false">D6-C6</f>
        <v>0.59</v>
      </c>
    </row>
    <row r="7" customFormat="false" ht="15" hidden="false" customHeight="false" outlineLevel="0" collapsed="false">
      <c r="A7" s="6" t="s">
        <v>64</v>
      </c>
      <c r="B7" s="6" t="s">
        <v>479</v>
      </c>
      <c r="C7" s="11" t="n">
        <v>7.63</v>
      </c>
      <c r="D7" s="11" t="n">
        <v>8.34</v>
      </c>
      <c r="E7" s="11" t="n">
        <f aca="false">D7-C7</f>
        <v>0.71</v>
      </c>
    </row>
    <row r="8" customFormat="false" ht="15" hidden="false" customHeight="false" outlineLevel="0" collapsed="false">
      <c r="A8" s="6" t="s">
        <v>64</v>
      </c>
      <c r="B8" s="6" t="s">
        <v>480</v>
      </c>
      <c r="C8" s="11" t="n">
        <v>6.69</v>
      </c>
      <c r="D8" s="11" t="n">
        <v>7.13</v>
      </c>
      <c r="E8" s="11" t="n">
        <f aca="false">D8-C8</f>
        <v>0.44</v>
      </c>
    </row>
    <row r="9" customFormat="false" ht="15" hidden="false" customHeight="false" outlineLevel="0" collapsed="false">
      <c r="A9" s="6" t="s">
        <v>69</v>
      </c>
      <c r="B9" s="6" t="s">
        <v>474</v>
      </c>
      <c r="C9" s="11" t="n">
        <v>7.12</v>
      </c>
      <c r="D9" s="11" t="n">
        <v>7.61</v>
      </c>
      <c r="E9" s="11" t="n">
        <f aca="false">D9-C9</f>
        <v>0.49</v>
      </c>
    </row>
    <row r="10" customFormat="false" ht="15" hidden="false" customHeight="false" outlineLevel="0" collapsed="false">
      <c r="A10" s="6" t="s">
        <v>69</v>
      </c>
      <c r="B10" s="6" t="s">
        <v>475</v>
      </c>
      <c r="C10" s="11" t="n">
        <v>6.44</v>
      </c>
      <c r="D10" s="11" t="n">
        <v>6.93</v>
      </c>
      <c r="E10" s="11" t="n">
        <f aca="false">D10-C10</f>
        <v>0.489999999999999</v>
      </c>
    </row>
    <row r="11" customFormat="false" ht="15" hidden="false" customHeight="false" outlineLevel="0" collapsed="false">
      <c r="A11" s="6" t="s">
        <v>69</v>
      </c>
      <c r="B11" s="6" t="s">
        <v>476</v>
      </c>
      <c r="C11" s="11" t="n">
        <v>6.04</v>
      </c>
      <c r="D11" s="11" t="n">
        <v>6.61</v>
      </c>
      <c r="E11" s="11" t="n">
        <f aca="false">D11-C11</f>
        <v>0.57</v>
      </c>
    </row>
    <row r="12" customFormat="false" ht="15" hidden="false" customHeight="false" outlineLevel="0" collapsed="false">
      <c r="A12" s="6" t="s">
        <v>69</v>
      </c>
      <c r="B12" s="6" t="s">
        <v>477</v>
      </c>
      <c r="C12" s="11" t="n">
        <v>6.51</v>
      </c>
      <c r="D12" s="11" t="n">
        <v>7</v>
      </c>
      <c r="E12" s="11" t="n">
        <f aca="false">D12-C12</f>
        <v>0.49</v>
      </c>
    </row>
    <row r="13" customFormat="false" ht="15" hidden="false" customHeight="false" outlineLevel="0" collapsed="false">
      <c r="A13" s="6" t="s">
        <v>69</v>
      </c>
      <c r="B13" s="6" t="s">
        <v>478</v>
      </c>
      <c r="C13" s="11" t="n">
        <v>7.36</v>
      </c>
      <c r="D13" s="11" t="n">
        <v>7.28</v>
      </c>
      <c r="E13" s="11" t="n">
        <f aca="false">D13-C13</f>
        <v>-0.0800000000000001</v>
      </c>
    </row>
    <row r="14" customFormat="false" ht="15" hidden="false" customHeight="false" outlineLevel="0" collapsed="false">
      <c r="A14" s="6" t="s">
        <v>69</v>
      </c>
      <c r="B14" s="6" t="s">
        <v>479</v>
      </c>
      <c r="C14" s="11" t="n">
        <v>7.44</v>
      </c>
      <c r="D14" s="11" t="n">
        <v>7.45</v>
      </c>
      <c r="E14" s="11" t="n">
        <f aca="false">D14-C14</f>
        <v>0.00999999999999979</v>
      </c>
    </row>
    <row r="15" customFormat="false" ht="15" hidden="false" customHeight="false" outlineLevel="0" collapsed="false">
      <c r="A15" s="6" t="s">
        <v>69</v>
      </c>
      <c r="B15" s="6" t="s">
        <v>480</v>
      </c>
      <c r="C15" s="11" t="n">
        <v>6.33</v>
      </c>
      <c r="D15" s="11" t="n">
        <v>6.33</v>
      </c>
      <c r="E15" s="11" t="n">
        <f aca="false">D15-C15</f>
        <v>0</v>
      </c>
    </row>
    <row r="16" customFormat="false" ht="15" hidden="false" customHeight="false" outlineLevel="0" collapsed="false">
      <c r="A16" s="6" t="s">
        <v>73</v>
      </c>
      <c r="B16" s="6" t="s">
        <v>474</v>
      </c>
      <c r="C16" s="11" t="n">
        <v>7.19</v>
      </c>
      <c r="D16" s="11" t="n">
        <v>7.28</v>
      </c>
      <c r="E16" s="11" t="n">
        <f aca="false">D16-C16</f>
        <v>0.0899999999999999</v>
      </c>
    </row>
    <row r="17" customFormat="false" ht="15" hidden="false" customHeight="false" outlineLevel="0" collapsed="false">
      <c r="A17" s="6" t="s">
        <v>73</v>
      </c>
      <c r="B17" s="6" t="s">
        <v>475</v>
      </c>
      <c r="C17" s="11" t="n">
        <v>7.4</v>
      </c>
      <c r="D17" s="11" t="n">
        <v>7.29</v>
      </c>
      <c r="E17" s="11" t="n">
        <f aca="false">D17-C17</f>
        <v>-0.11</v>
      </c>
    </row>
    <row r="18" customFormat="false" ht="15" hidden="false" customHeight="false" outlineLevel="0" collapsed="false">
      <c r="A18" s="6" t="s">
        <v>73</v>
      </c>
      <c r="B18" s="6" t="s">
        <v>476</v>
      </c>
      <c r="C18" s="11" t="n">
        <v>5.49</v>
      </c>
      <c r="D18" s="11" t="n">
        <v>6.16</v>
      </c>
      <c r="E18" s="11" t="n">
        <f aca="false">D18-C18</f>
        <v>0.67</v>
      </c>
    </row>
    <row r="19" customFormat="false" ht="15" hidden="false" customHeight="false" outlineLevel="0" collapsed="false">
      <c r="A19" s="6" t="s">
        <v>73</v>
      </c>
      <c r="B19" s="6" t="s">
        <v>477</v>
      </c>
      <c r="C19" s="11" t="n">
        <v>6.98</v>
      </c>
      <c r="D19" s="11" t="n">
        <v>6.82</v>
      </c>
      <c r="E19" s="11" t="n">
        <f aca="false">D19-C19</f>
        <v>-0.16</v>
      </c>
    </row>
    <row r="20" customFormat="false" ht="15" hidden="false" customHeight="false" outlineLevel="0" collapsed="false">
      <c r="A20" s="6" t="s">
        <v>73</v>
      </c>
      <c r="B20" s="6" t="s">
        <v>478</v>
      </c>
      <c r="C20" s="11" t="n">
        <v>6.81</v>
      </c>
      <c r="D20" s="11" t="n">
        <v>6.72</v>
      </c>
      <c r="E20" s="11" t="n">
        <f aca="false">D20-C20</f>
        <v>-0.0899999999999999</v>
      </c>
    </row>
    <row r="21" customFormat="false" ht="15" hidden="false" customHeight="false" outlineLevel="0" collapsed="false">
      <c r="A21" s="6" t="s">
        <v>73</v>
      </c>
      <c r="B21" s="6" t="s">
        <v>479</v>
      </c>
      <c r="C21" s="11" t="n">
        <v>7.37</v>
      </c>
      <c r="D21" s="11" t="n">
        <v>7.44</v>
      </c>
      <c r="E21" s="11" t="n">
        <f aca="false">D21-C21</f>
        <v>0.0700000000000003</v>
      </c>
    </row>
    <row r="22" customFormat="false" ht="15" hidden="false" customHeight="false" outlineLevel="0" collapsed="false">
      <c r="A22" s="6" t="s">
        <v>73</v>
      </c>
      <c r="B22" s="6" t="s">
        <v>480</v>
      </c>
      <c r="C22" s="11" t="n">
        <v>5.81</v>
      </c>
      <c r="D22" s="11" t="n">
        <v>5.6</v>
      </c>
      <c r="E22" s="11" t="n">
        <f aca="false">D22-C22</f>
        <v>-0.21</v>
      </c>
    </row>
    <row r="23" customFormat="false" ht="15" hidden="false" customHeight="false" outlineLevel="0" collapsed="false">
      <c r="A23" s="6" t="s">
        <v>77</v>
      </c>
      <c r="B23" s="6" t="s">
        <v>474</v>
      </c>
      <c r="C23" s="11" t="n">
        <v>6.31</v>
      </c>
      <c r="D23" s="11" t="n">
        <v>6.81</v>
      </c>
      <c r="E23" s="11" t="n">
        <f aca="false">D23-C23</f>
        <v>0.5</v>
      </c>
    </row>
    <row r="24" customFormat="false" ht="15" hidden="false" customHeight="false" outlineLevel="0" collapsed="false">
      <c r="A24" s="6" t="s">
        <v>77</v>
      </c>
      <c r="B24" s="6" t="s">
        <v>475</v>
      </c>
      <c r="C24" s="11" t="n">
        <v>6.11</v>
      </c>
      <c r="D24" s="11" t="n">
        <v>6.55</v>
      </c>
      <c r="E24" s="11" t="n">
        <f aca="false">D24-C24</f>
        <v>0.44</v>
      </c>
    </row>
    <row r="25" customFormat="false" ht="15" hidden="false" customHeight="false" outlineLevel="0" collapsed="false">
      <c r="A25" s="6" t="s">
        <v>77</v>
      </c>
      <c r="B25" s="6" t="s">
        <v>476</v>
      </c>
      <c r="C25" s="11" t="n">
        <v>4.86</v>
      </c>
      <c r="D25" s="11" t="n">
        <v>5.48</v>
      </c>
      <c r="E25" s="11" t="n">
        <f aca="false">D25-C25</f>
        <v>0.62</v>
      </c>
    </row>
    <row r="26" customFormat="false" ht="15" hidden="false" customHeight="false" outlineLevel="0" collapsed="false">
      <c r="A26" s="6" t="s">
        <v>77</v>
      </c>
      <c r="B26" s="6" t="s">
        <v>477</v>
      </c>
      <c r="C26" s="11" t="n">
        <v>6.09</v>
      </c>
      <c r="D26" s="11" t="n">
        <v>6.22</v>
      </c>
      <c r="E26" s="11" t="n">
        <f aca="false">D26-C26</f>
        <v>0.13</v>
      </c>
    </row>
    <row r="27" customFormat="false" ht="15" hidden="false" customHeight="false" outlineLevel="0" collapsed="false">
      <c r="A27" s="6" t="s">
        <v>77</v>
      </c>
      <c r="B27" s="6" t="s">
        <v>478</v>
      </c>
      <c r="C27" s="11" t="n">
        <v>6.65</v>
      </c>
      <c r="D27" s="11" t="n">
        <v>6.52</v>
      </c>
      <c r="E27" s="11" t="n">
        <f aca="false">D27-C27</f>
        <v>-0.130000000000001</v>
      </c>
    </row>
    <row r="28" customFormat="false" ht="15" hidden="false" customHeight="false" outlineLevel="0" collapsed="false">
      <c r="A28" s="6" t="s">
        <v>77</v>
      </c>
      <c r="B28" s="6" t="s">
        <v>479</v>
      </c>
      <c r="C28" s="11" t="n">
        <v>6.46</v>
      </c>
      <c r="D28" s="11" t="n">
        <v>6.95</v>
      </c>
      <c r="E28" s="11" t="n">
        <f aca="false">D28-C28</f>
        <v>0.49</v>
      </c>
    </row>
    <row r="29" customFormat="false" ht="15" hidden="false" customHeight="false" outlineLevel="0" collapsed="false">
      <c r="A29" s="6" t="s">
        <v>77</v>
      </c>
      <c r="B29" s="6" t="s">
        <v>480</v>
      </c>
      <c r="C29" s="11" t="n">
        <v>5.34</v>
      </c>
      <c r="D29" s="11" t="n">
        <v>5.81</v>
      </c>
      <c r="E29" s="11" t="n">
        <f aca="false">D29-C29</f>
        <v>0.47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56</v>
      </c>
      <c r="B1" s="3" t="s">
        <v>81</v>
      </c>
      <c r="C1" s="3" t="s">
        <v>481</v>
      </c>
    </row>
    <row r="2" customFormat="false" ht="15" hidden="false" customHeight="false" outlineLevel="0" collapsed="false">
      <c r="A2" s="6" t="s">
        <v>64</v>
      </c>
      <c r="B2" s="6" t="s">
        <v>82</v>
      </c>
      <c r="C2" s="11" t="n">
        <v>8.05</v>
      </c>
    </row>
    <row r="3" customFormat="false" ht="15" hidden="false" customHeight="false" outlineLevel="0" collapsed="false">
      <c r="A3" s="6" t="s">
        <v>64</v>
      </c>
      <c r="B3" s="6" t="s">
        <v>83</v>
      </c>
      <c r="C3" s="11" t="n">
        <v>7.61</v>
      </c>
    </row>
    <row r="4" customFormat="false" ht="15" hidden="false" customHeight="false" outlineLevel="0" collapsed="false">
      <c r="A4" s="6" t="s">
        <v>64</v>
      </c>
      <c r="B4" s="6" t="s">
        <v>84</v>
      </c>
      <c r="C4" s="11" t="n">
        <v>7.83</v>
      </c>
    </row>
    <row r="5" customFormat="false" ht="15" hidden="false" customHeight="false" outlineLevel="0" collapsed="false">
      <c r="A5" s="6" t="s">
        <v>64</v>
      </c>
      <c r="B5" s="6" t="s">
        <v>85</v>
      </c>
      <c r="C5" s="11" t="n">
        <v>7.17</v>
      </c>
    </row>
    <row r="6" customFormat="false" ht="15" hidden="false" customHeight="false" outlineLevel="0" collapsed="false">
      <c r="A6" s="6" t="s">
        <v>64</v>
      </c>
      <c r="B6" s="6" t="s">
        <v>86</v>
      </c>
      <c r="C6" s="11" t="n">
        <v>7.59</v>
      </c>
    </row>
    <row r="7" customFormat="false" ht="15" hidden="false" customHeight="false" outlineLevel="0" collapsed="false">
      <c r="A7" s="6" t="s">
        <v>64</v>
      </c>
      <c r="B7" s="6" t="s">
        <v>87</v>
      </c>
      <c r="C7" s="11" t="n">
        <v>8.36</v>
      </c>
    </row>
    <row r="8" customFormat="false" ht="15" hidden="false" customHeight="false" outlineLevel="0" collapsed="false">
      <c r="A8" s="6" t="s">
        <v>69</v>
      </c>
      <c r="B8" s="6" t="s">
        <v>82</v>
      </c>
      <c r="C8" s="11" t="n">
        <v>7.85</v>
      </c>
    </row>
    <row r="9" customFormat="false" ht="15" hidden="false" customHeight="false" outlineLevel="0" collapsed="false">
      <c r="A9" s="6" t="s">
        <v>69</v>
      </c>
      <c r="B9" s="6" t="s">
        <v>83</v>
      </c>
      <c r="C9" s="11" t="n">
        <v>6.87</v>
      </c>
    </row>
    <row r="10" customFormat="false" ht="15" hidden="false" customHeight="false" outlineLevel="0" collapsed="false">
      <c r="A10" s="6" t="s">
        <v>69</v>
      </c>
      <c r="B10" s="6" t="s">
        <v>84</v>
      </c>
      <c r="C10" s="11" t="n">
        <v>7.35</v>
      </c>
    </row>
    <row r="11" customFormat="false" ht="15" hidden="false" customHeight="false" outlineLevel="0" collapsed="false">
      <c r="A11" s="6" t="s">
        <v>69</v>
      </c>
      <c r="B11" s="6" t="s">
        <v>85</v>
      </c>
      <c r="C11" s="11" t="n">
        <v>6.83</v>
      </c>
    </row>
    <row r="12" customFormat="false" ht="15" hidden="false" customHeight="false" outlineLevel="0" collapsed="false">
      <c r="A12" s="6" t="s">
        <v>69</v>
      </c>
      <c r="B12" s="6" t="s">
        <v>86</v>
      </c>
      <c r="C12" s="11" t="n">
        <v>7.29</v>
      </c>
    </row>
    <row r="13" customFormat="false" ht="15" hidden="false" customHeight="false" outlineLevel="0" collapsed="false">
      <c r="A13" s="6" t="s">
        <v>69</v>
      </c>
      <c r="B13" s="6" t="s">
        <v>87</v>
      </c>
      <c r="C13" s="11" t="n">
        <v>8.02</v>
      </c>
    </row>
    <row r="14" customFormat="false" ht="15" hidden="false" customHeight="false" outlineLevel="0" collapsed="false">
      <c r="A14" s="6" t="s">
        <v>73</v>
      </c>
      <c r="B14" s="6" t="s">
        <v>82</v>
      </c>
      <c r="C14" s="11" t="n">
        <v>7.65</v>
      </c>
    </row>
    <row r="15" customFormat="false" ht="15" hidden="false" customHeight="false" outlineLevel="0" collapsed="false">
      <c r="A15" s="6" t="s">
        <v>73</v>
      </c>
      <c r="B15" s="6" t="s">
        <v>83</v>
      </c>
      <c r="C15" s="11" t="n">
        <v>6.69</v>
      </c>
    </row>
    <row r="16" customFormat="false" ht="15" hidden="false" customHeight="false" outlineLevel="0" collapsed="false">
      <c r="A16" s="6" t="s">
        <v>73</v>
      </c>
      <c r="B16" s="6" t="s">
        <v>84</v>
      </c>
      <c r="C16" s="11" t="n">
        <v>6.34</v>
      </c>
    </row>
    <row r="17" customFormat="false" ht="15" hidden="false" customHeight="false" outlineLevel="0" collapsed="false">
      <c r="A17" s="6" t="s">
        <v>73</v>
      </c>
      <c r="B17" s="6" t="s">
        <v>85</v>
      </c>
      <c r="C17" s="11" t="n">
        <v>6.55</v>
      </c>
    </row>
    <row r="18" customFormat="false" ht="15" hidden="false" customHeight="false" outlineLevel="0" collapsed="false">
      <c r="A18" s="6" t="s">
        <v>73</v>
      </c>
      <c r="B18" s="6" t="s">
        <v>86</v>
      </c>
      <c r="C18" s="11" t="n">
        <v>6.98</v>
      </c>
    </row>
    <row r="19" customFormat="false" ht="15" hidden="false" customHeight="false" outlineLevel="0" collapsed="false">
      <c r="A19" s="6" t="s">
        <v>73</v>
      </c>
      <c r="B19" s="6" t="s">
        <v>87</v>
      </c>
      <c r="C19" s="11" t="n">
        <v>7.6</v>
      </c>
    </row>
    <row r="20" customFormat="false" ht="15" hidden="false" customHeight="false" outlineLevel="0" collapsed="false">
      <c r="A20" s="6" t="s">
        <v>77</v>
      </c>
      <c r="B20" s="6" t="s">
        <v>82</v>
      </c>
      <c r="C20" s="11" t="n">
        <v>6.68</v>
      </c>
    </row>
    <row r="21" customFormat="false" ht="15" hidden="false" customHeight="false" outlineLevel="0" collapsed="false">
      <c r="A21" s="6" t="s">
        <v>77</v>
      </c>
      <c r="B21" s="6" t="s">
        <v>83</v>
      </c>
      <c r="C21" s="11" t="n">
        <v>6.15</v>
      </c>
    </row>
    <row r="22" customFormat="false" ht="15" hidden="false" customHeight="false" outlineLevel="0" collapsed="false">
      <c r="A22" s="6" t="s">
        <v>77</v>
      </c>
      <c r="B22" s="6" t="s">
        <v>84</v>
      </c>
      <c r="C22" s="11" t="n">
        <v>6.02</v>
      </c>
    </row>
    <row r="23" customFormat="false" ht="15" hidden="false" customHeight="false" outlineLevel="0" collapsed="false">
      <c r="A23" s="6" t="s">
        <v>77</v>
      </c>
      <c r="B23" s="6" t="s">
        <v>85</v>
      </c>
      <c r="C23" s="11" t="n">
        <v>5.96</v>
      </c>
    </row>
    <row r="24" customFormat="false" ht="15" hidden="false" customHeight="false" outlineLevel="0" collapsed="false">
      <c r="A24" s="6" t="s">
        <v>77</v>
      </c>
      <c r="B24" s="6" t="s">
        <v>86</v>
      </c>
      <c r="C24" s="11" t="n">
        <v>6.49</v>
      </c>
    </row>
    <row r="25" customFormat="false" ht="15" hidden="false" customHeight="false" outlineLevel="0" collapsed="false">
      <c r="A25" s="6" t="s">
        <v>77</v>
      </c>
      <c r="B25" s="6" t="s">
        <v>87</v>
      </c>
      <c r="C25" s="11" t="n">
        <v>6.78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3" t="s">
        <v>56</v>
      </c>
      <c r="B1" s="3" t="s">
        <v>482</v>
      </c>
      <c r="C1" s="3" t="s">
        <v>483</v>
      </c>
      <c r="D1" s="3" t="s">
        <v>484</v>
      </c>
    </row>
    <row r="2" customFormat="false" ht="15" hidden="false" customHeight="false" outlineLevel="0" collapsed="false">
      <c r="A2" s="6" t="s">
        <v>64</v>
      </c>
      <c r="B2" s="6" t="n">
        <v>1</v>
      </c>
      <c r="C2" s="6" t="s">
        <v>485</v>
      </c>
      <c r="D2" s="11" t="n">
        <v>6.91</v>
      </c>
    </row>
    <row r="3" customFormat="false" ht="15" hidden="false" customHeight="false" outlineLevel="0" collapsed="false">
      <c r="A3" s="6" t="s">
        <v>64</v>
      </c>
      <c r="B3" s="6" t="n">
        <v>2</v>
      </c>
      <c r="C3" s="6" t="s">
        <v>94</v>
      </c>
      <c r="D3" s="11" t="n">
        <v>7.22</v>
      </c>
    </row>
    <row r="4" customFormat="false" ht="15" hidden="false" customHeight="false" outlineLevel="0" collapsed="false">
      <c r="A4" s="6" t="s">
        <v>64</v>
      </c>
      <c r="B4" s="6" t="n">
        <v>3</v>
      </c>
      <c r="C4" s="6" t="s">
        <v>97</v>
      </c>
      <c r="D4" s="11" t="n">
        <v>7.52</v>
      </c>
    </row>
    <row r="5" customFormat="false" ht="15" hidden="false" customHeight="false" outlineLevel="0" collapsed="false">
      <c r="A5" s="6" t="s">
        <v>64</v>
      </c>
      <c r="B5" s="6" t="n">
        <v>4</v>
      </c>
      <c r="C5" s="6" t="s">
        <v>104</v>
      </c>
      <c r="D5" s="11" t="n">
        <v>7.75</v>
      </c>
    </row>
    <row r="6" customFormat="false" ht="15" hidden="false" customHeight="false" outlineLevel="0" collapsed="false">
      <c r="A6" s="6" t="s">
        <v>69</v>
      </c>
      <c r="B6" s="6" t="n">
        <v>1</v>
      </c>
      <c r="C6" s="6" t="s">
        <v>485</v>
      </c>
      <c r="D6" s="11" t="n">
        <v>6.25</v>
      </c>
    </row>
    <row r="7" customFormat="false" ht="15" hidden="false" customHeight="false" outlineLevel="0" collapsed="false">
      <c r="A7" s="6" t="s">
        <v>69</v>
      </c>
      <c r="B7" s="6" t="n">
        <v>2</v>
      </c>
      <c r="C7" s="6" t="s">
        <v>94</v>
      </c>
      <c r="D7" s="11" t="n">
        <v>6.73</v>
      </c>
    </row>
    <row r="8" customFormat="false" ht="15" hidden="false" customHeight="false" outlineLevel="0" collapsed="false">
      <c r="A8" s="6" t="s">
        <v>69</v>
      </c>
      <c r="B8" s="6" t="n">
        <v>3</v>
      </c>
      <c r="C8" s="6" t="s">
        <v>97</v>
      </c>
      <c r="D8" s="11" t="n">
        <v>6.75</v>
      </c>
    </row>
    <row r="9" customFormat="false" ht="15" hidden="false" customHeight="false" outlineLevel="0" collapsed="false">
      <c r="A9" s="6" t="s">
        <v>69</v>
      </c>
      <c r="B9" s="6" t="n">
        <v>4</v>
      </c>
      <c r="C9" s="6" t="s">
        <v>104</v>
      </c>
      <c r="D9" s="11" t="n">
        <v>7.03</v>
      </c>
    </row>
    <row r="10" customFormat="false" ht="15" hidden="false" customHeight="false" outlineLevel="0" collapsed="false">
      <c r="A10" s="6" t="s">
        <v>73</v>
      </c>
      <c r="B10" s="6" t="n">
        <v>1</v>
      </c>
      <c r="C10" s="6" t="s">
        <v>485</v>
      </c>
      <c r="D10" s="11" t="n">
        <v>5.68</v>
      </c>
    </row>
    <row r="11" customFormat="false" ht="15" hidden="false" customHeight="false" outlineLevel="0" collapsed="false">
      <c r="A11" s="6" t="s">
        <v>73</v>
      </c>
      <c r="B11" s="6" t="n">
        <v>2</v>
      </c>
      <c r="C11" s="6" t="s">
        <v>94</v>
      </c>
      <c r="D11" s="11" t="n">
        <v>6.24</v>
      </c>
    </row>
    <row r="12" customFormat="false" ht="15" hidden="false" customHeight="false" outlineLevel="0" collapsed="false">
      <c r="A12" s="6" t="s">
        <v>73</v>
      </c>
      <c r="B12" s="6" t="n">
        <v>3</v>
      </c>
      <c r="C12" s="6" t="s">
        <v>97</v>
      </c>
      <c r="D12" s="11" t="n">
        <v>6.72</v>
      </c>
    </row>
    <row r="13" customFormat="false" ht="15" hidden="false" customHeight="false" outlineLevel="0" collapsed="false">
      <c r="A13" s="6" t="s">
        <v>73</v>
      </c>
      <c r="B13" s="6" t="n">
        <v>4</v>
      </c>
      <c r="C13" s="6" t="s">
        <v>104</v>
      </c>
      <c r="D13" s="11" t="n">
        <v>6.76</v>
      </c>
    </row>
    <row r="14" customFormat="false" ht="15" hidden="false" customHeight="false" outlineLevel="0" collapsed="false">
      <c r="A14" s="6" t="s">
        <v>77</v>
      </c>
      <c r="B14" s="6" t="n">
        <v>1</v>
      </c>
      <c r="C14" s="6" t="s">
        <v>485</v>
      </c>
      <c r="D14" s="11" t="n">
        <v>5.49</v>
      </c>
    </row>
    <row r="15" customFormat="false" ht="15" hidden="false" customHeight="false" outlineLevel="0" collapsed="false">
      <c r="A15" s="6" t="s">
        <v>77</v>
      </c>
      <c r="B15" s="6" t="n">
        <v>2</v>
      </c>
      <c r="C15" s="6" t="s">
        <v>94</v>
      </c>
      <c r="D15" s="11" t="n">
        <v>6</v>
      </c>
    </row>
    <row r="16" customFormat="false" ht="15" hidden="false" customHeight="false" outlineLevel="0" collapsed="false">
      <c r="A16" s="6" t="s">
        <v>77</v>
      </c>
      <c r="B16" s="6" t="n">
        <v>3</v>
      </c>
      <c r="C16" s="6" t="s">
        <v>97</v>
      </c>
      <c r="D16" s="11" t="n">
        <v>5.97</v>
      </c>
    </row>
    <row r="17" customFormat="false" ht="15" hidden="false" customHeight="false" outlineLevel="0" collapsed="false">
      <c r="A17" s="6" t="s">
        <v>77</v>
      </c>
      <c r="B17" s="6" t="n">
        <v>4</v>
      </c>
      <c r="C17" s="6" t="s">
        <v>104</v>
      </c>
      <c r="D17" s="11" t="n">
        <v>6.33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9"/>
    <col collapsed="false" customWidth="true" hidden="false" outlineLevel="0" max="8" min="8" style="0" width="23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1" min="11" style="0" width="21"/>
    <col collapsed="false" customWidth="true" hidden="false" outlineLevel="0" max="12" min="12" style="0" width="22"/>
    <col collapsed="false" customWidth="true" hidden="false" outlineLevel="0" max="13" min="13" style="0" width="23"/>
    <col collapsed="false" customWidth="true" hidden="false" outlineLevel="0" max="14" min="14" style="0" width="18"/>
    <col collapsed="false" customWidth="true" hidden="false" outlineLevel="0" max="15" min="15" style="0" width="21"/>
    <col collapsed="false" customWidth="true" hidden="false" outlineLevel="0" max="16" min="16" style="0" width="25"/>
    <col collapsed="false" customWidth="true" hidden="false" outlineLevel="0" max="17" min="17" style="0" width="19"/>
    <col collapsed="false" customWidth="true" hidden="false" outlineLevel="0" max="18" min="18" style="0" width="14"/>
  </cols>
  <sheetData>
    <row r="1" customFormat="false" ht="15" hidden="false" customHeight="false" outlineLevel="0" collapsed="false">
      <c r="A1" s="3" t="s">
        <v>56</v>
      </c>
      <c r="B1" s="3" t="s">
        <v>486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  <c r="H1" s="3" t="s">
        <v>492</v>
      </c>
      <c r="I1" s="3" t="s">
        <v>493</v>
      </c>
      <c r="J1" s="3" t="s">
        <v>494</v>
      </c>
      <c r="K1" s="3" t="s">
        <v>495</v>
      </c>
      <c r="L1" s="3" t="s">
        <v>496</v>
      </c>
      <c r="M1" s="3" t="s">
        <v>497</v>
      </c>
      <c r="N1" s="3" t="s">
        <v>498</v>
      </c>
      <c r="O1" s="3" t="s">
        <v>499</v>
      </c>
      <c r="P1" s="3" t="s">
        <v>500</v>
      </c>
      <c r="Q1" s="3" t="s">
        <v>501</v>
      </c>
      <c r="R1" s="3" t="s">
        <v>502</v>
      </c>
    </row>
    <row r="2" customFormat="false" ht="15" hidden="false" customHeight="false" outlineLevel="0" collapsed="false">
      <c r="A2" s="6" t="s">
        <v>64</v>
      </c>
      <c r="B2" s="9" t="n">
        <v>46311</v>
      </c>
      <c r="C2" s="8" t="n">
        <v>41</v>
      </c>
      <c r="D2" s="8" t="n">
        <v>128</v>
      </c>
      <c r="E2" s="10" t="n">
        <v>0.9058</v>
      </c>
      <c r="F2" s="10" t="n">
        <v>0.744</v>
      </c>
      <c r="G2" s="12" t="n">
        <v>13.8</v>
      </c>
      <c r="H2" s="6" t="n">
        <v>2</v>
      </c>
      <c r="I2" s="10" t="n">
        <v>0.9153</v>
      </c>
      <c r="J2" s="10" t="n">
        <v>0.0245</v>
      </c>
      <c r="K2" s="10" t="n">
        <v>0.0918</v>
      </c>
      <c r="L2" s="6" t="n">
        <v>23</v>
      </c>
      <c r="M2" s="8" t="n">
        <v>718</v>
      </c>
      <c r="N2" s="8" t="n">
        <v>820</v>
      </c>
      <c r="O2" s="8" t="n">
        <v>37</v>
      </c>
      <c r="P2" s="8" t="n">
        <v>20</v>
      </c>
      <c r="Q2" s="8" t="n">
        <v>75</v>
      </c>
      <c r="R2" s="8" t="n">
        <v>72</v>
      </c>
    </row>
    <row r="3" customFormat="false" ht="15" hidden="false" customHeight="false" outlineLevel="0" collapsed="false">
      <c r="A3" s="6" t="s">
        <v>69</v>
      </c>
      <c r="B3" s="9" t="n">
        <v>46311</v>
      </c>
      <c r="C3" s="8" t="n">
        <v>97</v>
      </c>
      <c r="D3" s="8" t="n">
        <v>47</v>
      </c>
      <c r="E3" s="10" t="n">
        <v>0.8717</v>
      </c>
      <c r="F3" s="10" t="n">
        <v>0.7405</v>
      </c>
      <c r="G3" s="12" t="n">
        <v>12.7</v>
      </c>
      <c r="H3" s="6" t="n">
        <v>5</v>
      </c>
      <c r="I3" s="10" t="n">
        <v>0.8767</v>
      </c>
      <c r="J3" s="10" t="n">
        <v>0.0283</v>
      </c>
      <c r="K3" s="10" t="n">
        <v>0.1096</v>
      </c>
      <c r="L3" s="6" t="n">
        <v>32</v>
      </c>
      <c r="M3" s="8" t="n">
        <v>931</v>
      </c>
      <c r="N3" s="8" t="n">
        <v>1150</v>
      </c>
      <c r="O3" s="8" t="n">
        <v>77</v>
      </c>
      <c r="P3" s="8" t="n">
        <v>41</v>
      </c>
      <c r="Q3" s="8" t="n">
        <v>126</v>
      </c>
      <c r="R3" s="8" t="n">
        <v>118</v>
      </c>
    </row>
    <row r="4" customFormat="false" ht="15" hidden="false" customHeight="false" outlineLevel="0" collapsed="false">
      <c r="A4" s="6" t="s">
        <v>73</v>
      </c>
      <c r="B4" s="9" t="n">
        <v>46311</v>
      </c>
      <c r="C4" s="8" t="n">
        <v>73</v>
      </c>
      <c r="D4" s="8" t="n">
        <v>22</v>
      </c>
      <c r="E4" s="10" t="n">
        <v>0.8541</v>
      </c>
      <c r="F4" s="10" t="n">
        <v>0.662</v>
      </c>
      <c r="G4" s="12" t="n">
        <v>12</v>
      </c>
      <c r="H4" s="6" t="n">
        <v>4</v>
      </c>
      <c r="I4" s="10" t="n">
        <v>0.8676</v>
      </c>
      <c r="J4" s="10" t="n">
        <v>0.0321</v>
      </c>
      <c r="K4" s="10" t="n">
        <v>0.1301</v>
      </c>
      <c r="L4" s="6" t="n">
        <v>11</v>
      </c>
      <c r="M4" s="8" t="n">
        <v>314</v>
      </c>
      <c r="N4" s="8" t="n">
        <v>410</v>
      </c>
      <c r="O4" s="8" t="n">
        <v>39</v>
      </c>
      <c r="P4" s="8" t="n">
        <v>13</v>
      </c>
      <c r="Q4" s="8" t="n">
        <v>53</v>
      </c>
      <c r="R4" s="8" t="n">
        <v>50</v>
      </c>
    </row>
    <row r="5" customFormat="false" ht="15" hidden="false" customHeight="false" outlineLevel="0" collapsed="false">
      <c r="A5" s="6" t="s">
        <v>77</v>
      </c>
      <c r="B5" s="9" t="n">
        <v>46311</v>
      </c>
      <c r="C5" s="8" t="n">
        <v>138</v>
      </c>
      <c r="D5" s="8" t="n">
        <v>9</v>
      </c>
      <c r="E5" s="10" t="n">
        <v>0.8167</v>
      </c>
      <c r="F5" s="10" t="n">
        <v>0.6812</v>
      </c>
      <c r="G5" s="12" t="n">
        <v>10.5</v>
      </c>
      <c r="H5" s="6" t="n">
        <v>7</v>
      </c>
      <c r="I5" s="10" t="n">
        <v>0.796</v>
      </c>
      <c r="J5" s="10" t="n">
        <v>0.0325</v>
      </c>
      <c r="K5" s="10" t="n">
        <v>0.1242</v>
      </c>
      <c r="L5" s="6" t="n">
        <v>16</v>
      </c>
      <c r="M5" s="8" t="n">
        <v>409</v>
      </c>
      <c r="N5" s="8" t="n">
        <v>560</v>
      </c>
      <c r="O5" s="8" t="n">
        <v>57</v>
      </c>
      <c r="P5" s="8" t="n">
        <v>15</v>
      </c>
      <c r="Q5" s="8" t="n">
        <v>70</v>
      </c>
      <c r="R5" s="8" t="n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56</v>
      </c>
      <c r="B1" s="3" t="s">
        <v>503</v>
      </c>
      <c r="C1" s="3" t="s">
        <v>504</v>
      </c>
      <c r="D1" s="3" t="s">
        <v>505</v>
      </c>
      <c r="E1" s="3" t="s">
        <v>506</v>
      </c>
    </row>
    <row r="2" customFormat="false" ht="15" hidden="false" customHeight="false" outlineLevel="0" collapsed="false">
      <c r="A2" s="6" t="s">
        <v>64</v>
      </c>
      <c r="B2" s="6" t="s">
        <v>507</v>
      </c>
      <c r="C2" s="6" t="n">
        <v>2</v>
      </c>
      <c r="D2" s="6" t="n">
        <v>2</v>
      </c>
      <c r="E2" s="6" t="n">
        <f aca="false">MAX(0,C2-D2)</f>
        <v>0</v>
      </c>
    </row>
    <row r="3" customFormat="false" ht="15" hidden="false" customHeight="false" outlineLevel="0" collapsed="false">
      <c r="A3" s="6" t="s">
        <v>64</v>
      </c>
      <c r="B3" s="6" t="s">
        <v>508</v>
      </c>
      <c r="C3" s="6" t="n">
        <v>1</v>
      </c>
      <c r="D3" s="6" t="n">
        <v>1</v>
      </c>
      <c r="E3" s="6" t="n">
        <f aca="false">MAX(0,C3-D3)</f>
        <v>0</v>
      </c>
    </row>
    <row r="4" customFormat="false" ht="15" hidden="false" customHeight="false" outlineLevel="0" collapsed="false">
      <c r="A4" s="6" t="s">
        <v>64</v>
      </c>
      <c r="B4" s="6" t="s">
        <v>509</v>
      </c>
      <c r="C4" s="6" t="n">
        <v>1</v>
      </c>
      <c r="D4" s="6" t="n">
        <v>1</v>
      </c>
      <c r="E4" s="6" t="n">
        <f aca="false">MAX(0,C4-D4)</f>
        <v>0</v>
      </c>
    </row>
    <row r="5" customFormat="false" ht="15" hidden="false" customHeight="false" outlineLevel="0" collapsed="false">
      <c r="A5" s="6" t="s">
        <v>64</v>
      </c>
      <c r="B5" s="6" t="s">
        <v>510</v>
      </c>
      <c r="C5" s="6" t="n">
        <v>0</v>
      </c>
      <c r="D5" s="6" t="n">
        <v>0</v>
      </c>
      <c r="E5" s="6" t="n">
        <f aca="false">MAX(0,C5-D5)</f>
        <v>0</v>
      </c>
    </row>
    <row r="6" customFormat="false" ht="15" hidden="false" customHeight="false" outlineLevel="0" collapsed="false">
      <c r="A6" s="6" t="s">
        <v>64</v>
      </c>
      <c r="B6" s="6" t="s">
        <v>426</v>
      </c>
      <c r="C6" s="6" t="n">
        <v>1</v>
      </c>
      <c r="D6" s="6" t="n">
        <v>1</v>
      </c>
      <c r="E6" s="6" t="n">
        <f aca="false">MAX(0,C6-D6)</f>
        <v>0</v>
      </c>
    </row>
    <row r="7" customFormat="false" ht="15" hidden="false" customHeight="false" outlineLevel="0" collapsed="false">
      <c r="A7" s="6" t="s">
        <v>69</v>
      </c>
      <c r="B7" s="6" t="s">
        <v>507</v>
      </c>
      <c r="C7" s="6" t="n">
        <v>4</v>
      </c>
      <c r="D7" s="6" t="n">
        <v>4</v>
      </c>
      <c r="E7" s="6" t="n">
        <f aca="false">MAX(0,C7-D7)</f>
        <v>0</v>
      </c>
    </row>
    <row r="8" customFormat="false" ht="15" hidden="false" customHeight="false" outlineLevel="0" collapsed="false">
      <c r="A8" s="6" t="s">
        <v>69</v>
      </c>
      <c r="B8" s="6" t="s">
        <v>508</v>
      </c>
      <c r="C8" s="6" t="n">
        <v>1</v>
      </c>
      <c r="D8" s="6" t="n">
        <v>1</v>
      </c>
      <c r="E8" s="6" t="n">
        <f aca="false">MAX(0,C8-D8)</f>
        <v>0</v>
      </c>
    </row>
    <row r="9" customFormat="false" ht="15" hidden="false" customHeight="false" outlineLevel="0" collapsed="false">
      <c r="A9" s="6" t="s">
        <v>69</v>
      </c>
      <c r="B9" s="6" t="s">
        <v>509</v>
      </c>
      <c r="C9" s="6" t="n">
        <v>1</v>
      </c>
      <c r="D9" s="6" t="n">
        <v>1</v>
      </c>
      <c r="E9" s="6" t="n">
        <f aca="false">MAX(0,C9-D9)</f>
        <v>0</v>
      </c>
    </row>
    <row r="10" customFormat="false" ht="15" hidden="false" customHeight="false" outlineLevel="0" collapsed="false">
      <c r="A10" s="6" t="s">
        <v>69</v>
      </c>
      <c r="B10" s="6" t="s">
        <v>510</v>
      </c>
      <c r="C10" s="6" t="n">
        <v>1</v>
      </c>
      <c r="D10" s="6" t="n">
        <v>1</v>
      </c>
      <c r="E10" s="6" t="n">
        <f aca="false">MAX(0,C10-D10)</f>
        <v>0</v>
      </c>
    </row>
    <row r="11" customFormat="false" ht="15" hidden="false" customHeight="false" outlineLevel="0" collapsed="false">
      <c r="A11" s="6" t="s">
        <v>69</v>
      </c>
      <c r="B11" s="6" t="s">
        <v>426</v>
      </c>
      <c r="C11" s="6" t="n">
        <v>1</v>
      </c>
      <c r="D11" s="6" t="n">
        <v>1</v>
      </c>
      <c r="E11" s="6" t="n">
        <f aca="false">MAX(0,C11-D11)</f>
        <v>0</v>
      </c>
    </row>
    <row r="12" customFormat="false" ht="15" hidden="false" customHeight="false" outlineLevel="0" collapsed="false">
      <c r="A12" s="6" t="s">
        <v>73</v>
      </c>
      <c r="B12" s="6" t="s">
        <v>507</v>
      </c>
      <c r="C12" s="6" t="n">
        <v>2</v>
      </c>
      <c r="D12" s="6" t="n">
        <v>2</v>
      </c>
      <c r="E12" s="6" t="n">
        <f aca="false">MAX(0,C12-D12)</f>
        <v>0</v>
      </c>
    </row>
    <row r="13" customFormat="false" ht="15" hidden="false" customHeight="false" outlineLevel="0" collapsed="false">
      <c r="A13" s="6" t="s">
        <v>73</v>
      </c>
      <c r="B13" s="6" t="s">
        <v>508</v>
      </c>
      <c r="C13" s="6" t="n">
        <v>1</v>
      </c>
      <c r="D13" s="6" t="n">
        <v>0</v>
      </c>
      <c r="E13" s="6" t="n">
        <f aca="false">MAX(0,C13-D13)</f>
        <v>1</v>
      </c>
    </row>
    <row r="14" customFormat="false" ht="15" hidden="false" customHeight="false" outlineLevel="0" collapsed="false">
      <c r="A14" s="6" t="s">
        <v>73</v>
      </c>
      <c r="B14" s="6" t="s">
        <v>509</v>
      </c>
      <c r="C14" s="6" t="n">
        <v>0</v>
      </c>
      <c r="D14" s="6" t="n">
        <v>0</v>
      </c>
      <c r="E14" s="6" t="n">
        <f aca="false">MAX(0,C14-D14)</f>
        <v>0</v>
      </c>
    </row>
    <row r="15" customFormat="false" ht="15" hidden="false" customHeight="false" outlineLevel="0" collapsed="false">
      <c r="A15" s="6" t="s">
        <v>73</v>
      </c>
      <c r="B15" s="6" t="s">
        <v>510</v>
      </c>
      <c r="C15" s="6" t="n">
        <v>0</v>
      </c>
      <c r="D15" s="6" t="n">
        <v>0</v>
      </c>
      <c r="E15" s="6" t="n">
        <f aca="false">MAX(0,C15-D15)</f>
        <v>0</v>
      </c>
    </row>
    <row r="16" customFormat="false" ht="15" hidden="false" customHeight="false" outlineLevel="0" collapsed="false">
      <c r="A16" s="6" t="s">
        <v>73</v>
      </c>
      <c r="B16" s="6" t="s">
        <v>426</v>
      </c>
      <c r="C16" s="6" t="n">
        <v>1</v>
      </c>
      <c r="D16" s="6" t="n">
        <v>1</v>
      </c>
      <c r="E16" s="6" t="n">
        <f aca="false">MAX(0,C16-D16)</f>
        <v>0</v>
      </c>
    </row>
    <row r="17" customFormat="false" ht="15" hidden="false" customHeight="false" outlineLevel="0" collapsed="false">
      <c r="A17" s="6" t="s">
        <v>77</v>
      </c>
      <c r="B17" s="6" t="s">
        <v>507</v>
      </c>
      <c r="C17" s="6" t="n">
        <v>3</v>
      </c>
      <c r="D17" s="6" t="n">
        <v>2</v>
      </c>
      <c r="E17" s="6" t="n">
        <f aca="false">MAX(0,C17-D17)</f>
        <v>1</v>
      </c>
    </row>
    <row r="18" customFormat="false" ht="15" hidden="false" customHeight="false" outlineLevel="0" collapsed="false">
      <c r="A18" s="6" t="s">
        <v>77</v>
      </c>
      <c r="B18" s="6" t="s">
        <v>508</v>
      </c>
      <c r="C18" s="6" t="n">
        <v>1</v>
      </c>
      <c r="D18" s="6" t="n">
        <v>1</v>
      </c>
      <c r="E18" s="6" t="n">
        <f aca="false">MAX(0,C18-D18)</f>
        <v>0</v>
      </c>
    </row>
    <row r="19" customFormat="false" ht="15" hidden="false" customHeight="false" outlineLevel="0" collapsed="false">
      <c r="A19" s="6" t="s">
        <v>77</v>
      </c>
      <c r="B19" s="6" t="s">
        <v>509</v>
      </c>
      <c r="C19" s="6" t="n">
        <v>1</v>
      </c>
      <c r="D19" s="6" t="n">
        <v>0</v>
      </c>
      <c r="E19" s="6" t="n">
        <f aca="false">MAX(0,C19-D19)</f>
        <v>1</v>
      </c>
    </row>
    <row r="20" customFormat="false" ht="15" hidden="false" customHeight="false" outlineLevel="0" collapsed="false">
      <c r="A20" s="6" t="s">
        <v>77</v>
      </c>
      <c r="B20" s="6" t="s">
        <v>510</v>
      </c>
      <c r="C20" s="6" t="n">
        <v>0</v>
      </c>
      <c r="D20" s="6" t="n">
        <v>0</v>
      </c>
      <c r="E20" s="6" t="n">
        <f aca="false">MAX(0,C20-D20)</f>
        <v>0</v>
      </c>
    </row>
    <row r="21" customFormat="false" ht="15" hidden="false" customHeight="false" outlineLevel="0" collapsed="false">
      <c r="A21" s="6" t="s">
        <v>77</v>
      </c>
      <c r="B21" s="6" t="s">
        <v>426</v>
      </c>
      <c r="C21" s="6" t="n">
        <v>1</v>
      </c>
      <c r="D21" s="6" t="n">
        <v>1</v>
      </c>
      <c r="E21" s="6" t="n">
        <f aca="false">MAX(0,C21-D21)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56</v>
      </c>
      <c r="B1" s="3" t="s">
        <v>511</v>
      </c>
      <c r="C1" s="3" t="s">
        <v>512</v>
      </c>
      <c r="D1" s="3" t="s">
        <v>513</v>
      </c>
      <c r="E1" s="3" t="s">
        <v>514</v>
      </c>
    </row>
    <row r="2" customFormat="false" ht="15" hidden="false" customHeight="false" outlineLevel="0" collapsed="false">
      <c r="A2" s="6" t="s">
        <v>64</v>
      </c>
      <c r="B2" s="6" t="s">
        <v>515</v>
      </c>
      <c r="C2" s="8" t="n">
        <v>82</v>
      </c>
      <c r="D2" s="8" t="n">
        <v>1</v>
      </c>
      <c r="E2" s="8" t="n">
        <f aca="false">C2+D2</f>
        <v>83</v>
      </c>
    </row>
    <row r="3" customFormat="false" ht="15" hidden="false" customHeight="false" outlineLevel="0" collapsed="false">
      <c r="A3" s="6" t="s">
        <v>64</v>
      </c>
      <c r="B3" s="6" t="s">
        <v>516</v>
      </c>
      <c r="C3" s="8" t="n">
        <v>753</v>
      </c>
      <c r="D3" s="8" t="n">
        <v>26</v>
      </c>
      <c r="E3" s="8" t="n">
        <f aca="false">C3+D3</f>
        <v>779</v>
      </c>
    </row>
    <row r="4" customFormat="false" ht="15" hidden="false" customHeight="false" outlineLevel="0" collapsed="false">
      <c r="A4" s="6" t="s">
        <v>64</v>
      </c>
      <c r="B4" s="6" t="s">
        <v>517</v>
      </c>
      <c r="C4" s="8" t="n">
        <v>24</v>
      </c>
      <c r="D4" s="8" t="n">
        <v>1</v>
      </c>
      <c r="E4" s="8" t="n">
        <f aca="false">C4+D4</f>
        <v>25</v>
      </c>
    </row>
    <row r="5" customFormat="false" ht="15" hidden="false" customHeight="false" outlineLevel="0" collapsed="false">
      <c r="A5" s="6" t="s">
        <v>64</v>
      </c>
      <c r="B5" s="6" t="s">
        <v>518</v>
      </c>
      <c r="C5" s="8" t="n">
        <v>16</v>
      </c>
      <c r="D5" s="8" t="n">
        <v>0</v>
      </c>
      <c r="E5" s="8" t="n">
        <f aca="false">C5+D5</f>
        <v>16</v>
      </c>
    </row>
    <row r="6" customFormat="false" ht="15" hidden="false" customHeight="false" outlineLevel="0" collapsed="false">
      <c r="A6" s="6" t="s">
        <v>64</v>
      </c>
      <c r="B6" s="6" t="s">
        <v>519</v>
      </c>
      <c r="C6" s="8" t="n">
        <v>74</v>
      </c>
      <c r="D6" s="8" t="n">
        <v>1</v>
      </c>
      <c r="E6" s="8" t="n">
        <f aca="false">C6+D6</f>
        <v>75</v>
      </c>
    </row>
    <row r="7" customFormat="false" ht="15" hidden="false" customHeight="false" outlineLevel="0" collapsed="false">
      <c r="A7" s="6" t="s">
        <v>69</v>
      </c>
      <c r="B7" s="6" t="s">
        <v>515</v>
      </c>
      <c r="C7" s="8" t="n">
        <v>134</v>
      </c>
      <c r="D7" s="8" t="n">
        <v>5</v>
      </c>
      <c r="E7" s="8" t="n">
        <f aca="false">C7+D7</f>
        <v>139</v>
      </c>
    </row>
    <row r="8" customFormat="false" ht="15" hidden="false" customHeight="false" outlineLevel="0" collapsed="false">
      <c r="A8" s="6" t="s">
        <v>69</v>
      </c>
      <c r="B8" s="6" t="s">
        <v>516</v>
      </c>
      <c r="C8" s="8" t="n">
        <v>1043</v>
      </c>
      <c r="D8" s="8" t="n">
        <v>50</v>
      </c>
      <c r="E8" s="8" t="n">
        <f aca="false">C8+D8</f>
        <v>1093</v>
      </c>
    </row>
    <row r="9" customFormat="false" ht="15" hidden="false" customHeight="false" outlineLevel="0" collapsed="false">
      <c r="A9" s="6" t="s">
        <v>69</v>
      </c>
      <c r="B9" s="6" t="s">
        <v>517</v>
      </c>
      <c r="C9" s="8" t="n">
        <v>34</v>
      </c>
      <c r="D9" s="8" t="n">
        <v>1</v>
      </c>
      <c r="E9" s="8" t="n">
        <f aca="false">C9+D9</f>
        <v>35</v>
      </c>
    </row>
    <row r="10" customFormat="false" ht="15" hidden="false" customHeight="false" outlineLevel="0" collapsed="false">
      <c r="A10" s="6" t="s">
        <v>69</v>
      </c>
      <c r="B10" s="6" t="s">
        <v>518</v>
      </c>
      <c r="C10" s="8" t="n">
        <v>22</v>
      </c>
      <c r="D10" s="8" t="n">
        <v>1</v>
      </c>
      <c r="E10" s="8" t="n">
        <f aca="false">C10+D10</f>
        <v>23</v>
      </c>
    </row>
    <row r="11" customFormat="false" ht="15" hidden="false" customHeight="false" outlineLevel="0" collapsed="false">
      <c r="A11" s="6" t="s">
        <v>69</v>
      </c>
      <c r="B11" s="6" t="s">
        <v>519</v>
      </c>
      <c r="C11" s="8" t="n">
        <v>122</v>
      </c>
      <c r="D11" s="8" t="n">
        <v>4</v>
      </c>
      <c r="E11" s="8" t="n">
        <f aca="false">C11+D11</f>
        <v>126</v>
      </c>
    </row>
    <row r="12" customFormat="false" ht="15" hidden="false" customHeight="false" outlineLevel="0" collapsed="false">
      <c r="A12" s="6" t="s">
        <v>73</v>
      </c>
      <c r="B12" s="6" t="s">
        <v>515</v>
      </c>
      <c r="C12" s="8" t="n">
        <v>57</v>
      </c>
      <c r="D12" s="8" t="n">
        <v>2</v>
      </c>
      <c r="E12" s="8" t="n">
        <f aca="false">C12+D12</f>
        <v>59</v>
      </c>
    </row>
    <row r="13" customFormat="false" ht="15" hidden="false" customHeight="false" outlineLevel="0" collapsed="false">
      <c r="A13" s="6" t="s">
        <v>73</v>
      </c>
      <c r="B13" s="6" t="s">
        <v>516</v>
      </c>
      <c r="C13" s="8" t="n">
        <v>350</v>
      </c>
      <c r="D13" s="8" t="n">
        <v>40</v>
      </c>
      <c r="E13" s="8" t="n">
        <f aca="false">C13+D13</f>
        <v>390</v>
      </c>
    </row>
    <row r="14" customFormat="false" ht="15" hidden="false" customHeight="false" outlineLevel="0" collapsed="false">
      <c r="A14" s="6" t="s">
        <v>73</v>
      </c>
      <c r="B14" s="6" t="s">
        <v>517</v>
      </c>
      <c r="C14" s="8" t="n">
        <v>11</v>
      </c>
      <c r="D14" s="8" t="n">
        <v>1</v>
      </c>
      <c r="E14" s="8" t="n">
        <f aca="false">C14+D14</f>
        <v>12</v>
      </c>
    </row>
    <row r="15" customFormat="false" ht="15" hidden="false" customHeight="false" outlineLevel="0" collapsed="false">
      <c r="A15" s="6" t="s">
        <v>73</v>
      </c>
      <c r="B15" s="6" t="s">
        <v>518</v>
      </c>
      <c r="C15" s="8" t="n">
        <v>8</v>
      </c>
      <c r="D15" s="8" t="n">
        <v>0</v>
      </c>
      <c r="E15" s="8" t="n">
        <f aca="false">C15+D15</f>
        <v>8</v>
      </c>
    </row>
    <row r="16" customFormat="false" ht="15" hidden="false" customHeight="false" outlineLevel="0" collapsed="false">
      <c r="A16" s="6" t="s">
        <v>73</v>
      </c>
      <c r="B16" s="6" t="s">
        <v>519</v>
      </c>
      <c r="C16" s="8" t="n">
        <v>52</v>
      </c>
      <c r="D16" s="8" t="n">
        <v>1</v>
      </c>
      <c r="E16" s="8" t="n">
        <f aca="false">C16+D16</f>
        <v>53</v>
      </c>
    </row>
    <row r="17" customFormat="false" ht="15" hidden="false" customHeight="false" outlineLevel="0" collapsed="false">
      <c r="A17" s="6" t="s">
        <v>77</v>
      </c>
      <c r="B17" s="6" t="s">
        <v>515</v>
      </c>
      <c r="C17" s="8" t="n">
        <v>74</v>
      </c>
      <c r="D17" s="8" t="n">
        <v>3</v>
      </c>
      <c r="E17" s="8" t="n">
        <f aca="false">C17+D17</f>
        <v>77</v>
      </c>
    </row>
    <row r="18" customFormat="false" ht="15" hidden="false" customHeight="false" outlineLevel="0" collapsed="false">
      <c r="A18" s="6" t="s">
        <v>77</v>
      </c>
      <c r="B18" s="6" t="s">
        <v>516</v>
      </c>
      <c r="C18" s="8" t="n">
        <v>479</v>
      </c>
      <c r="D18" s="8" t="n">
        <v>53</v>
      </c>
      <c r="E18" s="8" t="n">
        <f aca="false">C18+D18</f>
        <v>532</v>
      </c>
    </row>
    <row r="19" customFormat="false" ht="15" hidden="false" customHeight="false" outlineLevel="0" collapsed="false">
      <c r="A19" s="6" t="s">
        <v>77</v>
      </c>
      <c r="B19" s="6" t="s">
        <v>517</v>
      </c>
      <c r="C19" s="8" t="n">
        <v>16</v>
      </c>
      <c r="D19" s="8" t="n">
        <v>1</v>
      </c>
      <c r="E19" s="8" t="n">
        <f aca="false">C19+D19</f>
        <v>17</v>
      </c>
    </row>
    <row r="20" customFormat="false" ht="15" hidden="false" customHeight="false" outlineLevel="0" collapsed="false">
      <c r="A20" s="6" t="s">
        <v>77</v>
      </c>
      <c r="B20" s="6" t="s">
        <v>518</v>
      </c>
      <c r="C20" s="8" t="n">
        <v>10</v>
      </c>
      <c r="D20" s="8" t="n">
        <v>1</v>
      </c>
      <c r="E20" s="8" t="n">
        <f aca="false">C20+D20</f>
        <v>11</v>
      </c>
    </row>
    <row r="21" customFormat="false" ht="15" hidden="false" customHeight="false" outlineLevel="0" collapsed="false">
      <c r="A21" s="6" t="s">
        <v>77</v>
      </c>
      <c r="B21" s="6" t="s">
        <v>519</v>
      </c>
      <c r="C21" s="8" t="n">
        <v>66</v>
      </c>
      <c r="D21" s="8" t="n">
        <v>4</v>
      </c>
      <c r="E21" s="8" t="n">
        <f aca="false">C21+D21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7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8" min="7" style="0" width="22"/>
  </cols>
  <sheetData>
    <row r="1" customFormat="false" ht="15" hidden="false" customHeight="false" outlineLevel="0" collapsed="false">
      <c r="A1" s="3" t="s">
        <v>119</v>
      </c>
      <c r="B1" s="3" t="s">
        <v>56</v>
      </c>
      <c r="C1" s="3" t="s">
        <v>81</v>
      </c>
      <c r="D1" s="3" t="s">
        <v>503</v>
      </c>
      <c r="E1" s="3" t="s">
        <v>520</v>
      </c>
      <c r="F1" s="3" t="s">
        <v>521</v>
      </c>
      <c r="G1" s="3" t="s">
        <v>123</v>
      </c>
      <c r="H1" s="3" t="s">
        <v>124</v>
      </c>
    </row>
    <row r="2" customFormat="false" ht="15" hidden="false" customHeight="false" outlineLevel="0" collapsed="false">
      <c r="A2" s="6" t="s">
        <v>522</v>
      </c>
      <c r="B2" s="6" t="s">
        <v>64</v>
      </c>
      <c r="C2" s="6" t="s">
        <v>87</v>
      </c>
      <c r="D2" s="6" t="s">
        <v>523</v>
      </c>
      <c r="E2" s="9" t="n">
        <v>45933</v>
      </c>
      <c r="F2" s="9" t="n">
        <v>46298</v>
      </c>
      <c r="G2" s="8" t="n">
        <f aca="false">F2-'LEIA-ME'!$B$4</f>
        <v>-13</v>
      </c>
      <c r="H2" s="6" t="str">
        <f aca="false">IF(G2&lt;0,"Vencido","Vence em até 30 dias")</f>
        <v>Vencido</v>
      </c>
    </row>
    <row r="3" customFormat="false" ht="15" hidden="false" customHeight="false" outlineLevel="0" collapsed="false">
      <c r="A3" s="6" t="s">
        <v>524</v>
      </c>
      <c r="B3" s="6" t="s">
        <v>64</v>
      </c>
      <c r="C3" s="6" t="s">
        <v>86</v>
      </c>
      <c r="D3" s="6" t="s">
        <v>525</v>
      </c>
      <c r="E3" s="9" t="n">
        <v>45811</v>
      </c>
      <c r="F3" s="9" t="n">
        <v>46176</v>
      </c>
      <c r="G3" s="8" t="n">
        <f aca="false">F3-'LEIA-ME'!$B$4</f>
        <v>-135</v>
      </c>
      <c r="H3" s="6" t="str">
        <f aca="false">IF(G3&lt;0,"Vencido","Vence em até 30 dias")</f>
        <v>Vencido</v>
      </c>
    </row>
    <row r="4" customFormat="false" ht="15" hidden="false" customHeight="false" outlineLevel="0" collapsed="false">
      <c r="A4" s="6" t="s">
        <v>526</v>
      </c>
      <c r="B4" s="6" t="s">
        <v>64</v>
      </c>
      <c r="C4" s="6" t="s">
        <v>87</v>
      </c>
      <c r="D4" s="6" t="s">
        <v>525</v>
      </c>
      <c r="E4" s="9" t="n">
        <v>45796</v>
      </c>
      <c r="F4" s="9" t="n">
        <v>46161</v>
      </c>
      <c r="G4" s="8" t="n">
        <f aca="false">F4-'LEIA-ME'!$B$4</f>
        <v>-150</v>
      </c>
      <c r="H4" s="6" t="str">
        <f aca="false">IF(G4&lt;0,"Vencido","Vence em até 30 dias")</f>
        <v>Vencido</v>
      </c>
    </row>
    <row r="5" customFormat="false" ht="15" hidden="false" customHeight="false" outlineLevel="0" collapsed="false">
      <c r="A5" s="6" t="s">
        <v>527</v>
      </c>
      <c r="B5" s="6" t="s">
        <v>64</v>
      </c>
      <c r="C5" s="6" t="s">
        <v>86</v>
      </c>
      <c r="D5" s="6" t="s">
        <v>528</v>
      </c>
      <c r="E5" s="9" t="n">
        <v>45799</v>
      </c>
      <c r="F5" s="9" t="n">
        <v>46164</v>
      </c>
      <c r="G5" s="8" t="n">
        <f aca="false">F5-'LEIA-ME'!$B$4</f>
        <v>-147</v>
      </c>
      <c r="H5" s="6" t="str">
        <f aca="false">IF(G5&lt;0,"Vencido","Vence em até 30 dias")</f>
        <v>Vencido</v>
      </c>
    </row>
    <row r="6" customFormat="false" ht="15" hidden="false" customHeight="false" outlineLevel="0" collapsed="false">
      <c r="A6" s="6" t="s">
        <v>529</v>
      </c>
      <c r="B6" s="6" t="s">
        <v>64</v>
      </c>
      <c r="C6" s="6" t="s">
        <v>82</v>
      </c>
      <c r="D6" s="6" t="s">
        <v>530</v>
      </c>
      <c r="E6" s="9" t="n">
        <v>45888</v>
      </c>
      <c r="F6" s="9" t="n">
        <v>46253</v>
      </c>
      <c r="G6" s="8" t="n">
        <f aca="false">F6-'LEIA-ME'!$B$4</f>
        <v>-58</v>
      </c>
      <c r="H6" s="6" t="str">
        <f aca="false">IF(G6&lt;0,"Vencido","Vence em até 30 dias")</f>
        <v>Vencido</v>
      </c>
    </row>
    <row r="7" customFormat="false" ht="15" hidden="false" customHeight="false" outlineLevel="0" collapsed="false">
      <c r="A7" s="6" t="s">
        <v>531</v>
      </c>
      <c r="B7" s="6" t="s">
        <v>64</v>
      </c>
      <c r="C7" s="6" t="s">
        <v>83</v>
      </c>
      <c r="D7" s="6" t="s">
        <v>525</v>
      </c>
      <c r="E7" s="9" t="n">
        <v>45796</v>
      </c>
      <c r="F7" s="9" t="n">
        <v>46161</v>
      </c>
      <c r="G7" s="8" t="n">
        <f aca="false">F7-'LEIA-ME'!$B$4</f>
        <v>-150</v>
      </c>
      <c r="H7" s="6" t="str">
        <f aca="false">IF(G7&lt;0,"Vencido","Vence em até 30 dias")</f>
        <v>Vencido</v>
      </c>
    </row>
    <row r="8" customFormat="false" ht="15" hidden="false" customHeight="false" outlineLevel="0" collapsed="false">
      <c r="A8" s="6" t="s">
        <v>532</v>
      </c>
      <c r="B8" s="6" t="s">
        <v>64</v>
      </c>
      <c r="C8" s="6" t="s">
        <v>85</v>
      </c>
      <c r="D8" s="6" t="s">
        <v>525</v>
      </c>
      <c r="E8" s="9" t="n">
        <v>45879</v>
      </c>
      <c r="F8" s="9" t="n">
        <v>46244</v>
      </c>
      <c r="G8" s="8" t="n">
        <f aca="false">F8-'LEIA-ME'!$B$4</f>
        <v>-67</v>
      </c>
      <c r="H8" s="6" t="str">
        <f aca="false">IF(G8&lt;0,"Vencido","Vence em até 30 dias")</f>
        <v>Vencido</v>
      </c>
    </row>
    <row r="9" customFormat="false" ht="15" hidden="false" customHeight="false" outlineLevel="0" collapsed="false">
      <c r="A9" s="6" t="s">
        <v>533</v>
      </c>
      <c r="B9" s="6" t="s">
        <v>64</v>
      </c>
      <c r="C9" s="6" t="s">
        <v>87</v>
      </c>
      <c r="D9" s="6" t="s">
        <v>534</v>
      </c>
      <c r="E9" s="9" t="n">
        <v>45894</v>
      </c>
      <c r="F9" s="9" t="n">
        <v>46259</v>
      </c>
      <c r="G9" s="8" t="n">
        <f aca="false">F9-'LEIA-ME'!$B$4</f>
        <v>-52</v>
      </c>
      <c r="H9" s="6" t="str">
        <f aca="false">IF(G9&lt;0,"Vencido","Vence em até 30 dias")</f>
        <v>Vencido</v>
      </c>
    </row>
    <row r="10" customFormat="false" ht="15" hidden="false" customHeight="false" outlineLevel="0" collapsed="false">
      <c r="A10" s="6" t="s">
        <v>535</v>
      </c>
      <c r="B10" s="6" t="s">
        <v>64</v>
      </c>
      <c r="C10" s="6" t="s">
        <v>87</v>
      </c>
      <c r="D10" s="6" t="s">
        <v>523</v>
      </c>
      <c r="E10" s="9" t="n">
        <v>45957</v>
      </c>
      <c r="F10" s="9" t="n">
        <v>46322</v>
      </c>
      <c r="G10" s="8" t="n">
        <f aca="false">F10-'LEIA-ME'!$B$4</f>
        <v>11</v>
      </c>
      <c r="H10" s="6" t="str">
        <f aca="false">IF(G10&lt;0,"Vencido","Vence em até 30 dias")</f>
        <v>Vence em até 30 dias</v>
      </c>
    </row>
    <row r="11" customFormat="false" ht="15" hidden="false" customHeight="false" outlineLevel="0" collapsed="false">
      <c r="A11" s="6" t="s">
        <v>536</v>
      </c>
      <c r="B11" s="6" t="s">
        <v>64</v>
      </c>
      <c r="C11" s="6" t="s">
        <v>83</v>
      </c>
      <c r="D11" s="6" t="s">
        <v>537</v>
      </c>
      <c r="E11" s="9" t="n">
        <v>45947</v>
      </c>
      <c r="F11" s="9" t="n">
        <v>46312</v>
      </c>
      <c r="G11" s="8" t="n">
        <f aca="false">F11-'LEIA-ME'!$B$4</f>
        <v>1</v>
      </c>
      <c r="H11" s="6" t="str">
        <f aca="false">IF(G11&lt;0,"Vencido","Vence em até 30 dias")</f>
        <v>Vence em até 30 dias</v>
      </c>
    </row>
    <row r="12" customFormat="false" ht="15" hidden="false" customHeight="false" outlineLevel="0" collapsed="false">
      <c r="A12" s="6" t="s">
        <v>538</v>
      </c>
      <c r="B12" s="6" t="s">
        <v>64</v>
      </c>
      <c r="C12" s="6" t="s">
        <v>87</v>
      </c>
      <c r="D12" s="6" t="s">
        <v>530</v>
      </c>
      <c r="E12" s="9" t="n">
        <v>45954</v>
      </c>
      <c r="F12" s="9" t="n">
        <v>46319</v>
      </c>
      <c r="G12" s="8" t="n">
        <f aca="false">F12-'LEIA-ME'!$B$4</f>
        <v>8</v>
      </c>
      <c r="H12" s="6" t="str">
        <f aca="false">IF(G12&lt;0,"Vencido","Vence em até 30 dias")</f>
        <v>Vence em até 30 dias</v>
      </c>
    </row>
    <row r="13" customFormat="false" ht="15" hidden="false" customHeight="false" outlineLevel="0" collapsed="false">
      <c r="A13" s="6" t="s">
        <v>539</v>
      </c>
      <c r="B13" s="6" t="s">
        <v>64</v>
      </c>
      <c r="C13" s="6" t="s">
        <v>82</v>
      </c>
      <c r="D13" s="6" t="s">
        <v>540</v>
      </c>
      <c r="E13" s="9" t="n">
        <v>45975</v>
      </c>
      <c r="F13" s="9" t="n">
        <v>46340</v>
      </c>
      <c r="G13" s="8" t="n">
        <f aca="false">F13-'LEIA-ME'!$B$4</f>
        <v>29</v>
      </c>
      <c r="H13" s="6" t="str">
        <f aca="false">IF(G13&lt;0,"Vencido","Vence em até 30 dias")</f>
        <v>Vence em até 30 dias</v>
      </c>
    </row>
    <row r="14" customFormat="false" ht="15" hidden="false" customHeight="false" outlineLevel="0" collapsed="false">
      <c r="A14" s="6" t="s">
        <v>541</v>
      </c>
      <c r="B14" s="6" t="s">
        <v>69</v>
      </c>
      <c r="C14" s="6" t="s">
        <v>85</v>
      </c>
      <c r="D14" s="6" t="s">
        <v>534</v>
      </c>
      <c r="E14" s="9" t="n">
        <v>45845</v>
      </c>
      <c r="F14" s="9" t="n">
        <v>46210</v>
      </c>
      <c r="G14" s="8" t="n">
        <f aca="false">F14-'LEIA-ME'!$B$4</f>
        <v>-101</v>
      </c>
      <c r="H14" s="6" t="str">
        <f aca="false">IF(G14&lt;0,"Vencido","Vence em até 30 dias")</f>
        <v>Vencido</v>
      </c>
    </row>
    <row r="15" customFormat="false" ht="15" hidden="false" customHeight="false" outlineLevel="0" collapsed="false">
      <c r="A15" s="6" t="s">
        <v>542</v>
      </c>
      <c r="B15" s="6" t="s">
        <v>69</v>
      </c>
      <c r="C15" s="6" t="s">
        <v>87</v>
      </c>
      <c r="D15" s="6" t="s">
        <v>525</v>
      </c>
      <c r="E15" s="9" t="n">
        <v>45849</v>
      </c>
      <c r="F15" s="9" t="n">
        <v>46214</v>
      </c>
      <c r="G15" s="8" t="n">
        <f aca="false">F15-'LEIA-ME'!$B$4</f>
        <v>-97</v>
      </c>
      <c r="H15" s="6" t="str">
        <f aca="false">IF(G15&lt;0,"Vencido","Vence em até 30 dias")</f>
        <v>Vencido</v>
      </c>
    </row>
    <row r="16" customFormat="false" ht="15" hidden="false" customHeight="false" outlineLevel="0" collapsed="false">
      <c r="A16" s="6" t="s">
        <v>543</v>
      </c>
      <c r="B16" s="6" t="s">
        <v>69</v>
      </c>
      <c r="C16" s="6" t="s">
        <v>86</v>
      </c>
      <c r="D16" s="6" t="s">
        <v>528</v>
      </c>
      <c r="E16" s="9" t="n">
        <v>45938</v>
      </c>
      <c r="F16" s="9" t="n">
        <v>46303</v>
      </c>
      <c r="G16" s="8" t="n">
        <f aca="false">F16-'LEIA-ME'!$B$4</f>
        <v>-8</v>
      </c>
      <c r="H16" s="6" t="str">
        <f aca="false">IF(G16&lt;0,"Vencido","Vence em até 30 dias")</f>
        <v>Vencido</v>
      </c>
    </row>
    <row r="17" customFormat="false" ht="15" hidden="false" customHeight="false" outlineLevel="0" collapsed="false">
      <c r="A17" s="6" t="s">
        <v>544</v>
      </c>
      <c r="B17" s="6" t="s">
        <v>69</v>
      </c>
      <c r="C17" s="6" t="s">
        <v>87</v>
      </c>
      <c r="D17" s="6" t="s">
        <v>523</v>
      </c>
      <c r="E17" s="9" t="n">
        <v>45799</v>
      </c>
      <c r="F17" s="9" t="n">
        <v>46164</v>
      </c>
      <c r="G17" s="8" t="n">
        <f aca="false">F17-'LEIA-ME'!$B$4</f>
        <v>-147</v>
      </c>
      <c r="H17" s="6" t="str">
        <f aca="false">IF(G17&lt;0,"Vencido","Vence em até 30 dias")</f>
        <v>Vencido</v>
      </c>
    </row>
    <row r="18" customFormat="false" ht="15" hidden="false" customHeight="false" outlineLevel="0" collapsed="false">
      <c r="A18" s="6" t="s">
        <v>545</v>
      </c>
      <c r="B18" s="6" t="s">
        <v>69</v>
      </c>
      <c r="C18" s="6" t="s">
        <v>86</v>
      </c>
      <c r="D18" s="6" t="s">
        <v>523</v>
      </c>
      <c r="E18" s="9" t="n">
        <v>45835</v>
      </c>
      <c r="F18" s="9" t="n">
        <v>46200</v>
      </c>
      <c r="G18" s="8" t="n">
        <f aca="false">F18-'LEIA-ME'!$B$4</f>
        <v>-111</v>
      </c>
      <c r="H18" s="6" t="str">
        <f aca="false">IF(G18&lt;0,"Vencido","Vence em até 30 dias")</f>
        <v>Vencido</v>
      </c>
    </row>
    <row r="19" customFormat="false" ht="15" hidden="false" customHeight="false" outlineLevel="0" collapsed="false">
      <c r="A19" s="6" t="s">
        <v>546</v>
      </c>
      <c r="B19" s="6" t="s">
        <v>69</v>
      </c>
      <c r="C19" s="6" t="s">
        <v>82</v>
      </c>
      <c r="D19" s="6" t="s">
        <v>523</v>
      </c>
      <c r="E19" s="9" t="n">
        <v>45942</v>
      </c>
      <c r="F19" s="9" t="n">
        <v>46307</v>
      </c>
      <c r="G19" s="8" t="n">
        <f aca="false">F19-'LEIA-ME'!$B$4</f>
        <v>-4</v>
      </c>
      <c r="H19" s="6" t="str">
        <f aca="false">IF(G19&lt;0,"Vencido","Vence em até 30 dias")</f>
        <v>Vencido</v>
      </c>
    </row>
    <row r="20" customFormat="false" ht="15" hidden="false" customHeight="false" outlineLevel="0" collapsed="false">
      <c r="A20" s="6" t="s">
        <v>547</v>
      </c>
      <c r="B20" s="6" t="s">
        <v>69</v>
      </c>
      <c r="C20" s="6" t="s">
        <v>87</v>
      </c>
      <c r="D20" s="6" t="s">
        <v>540</v>
      </c>
      <c r="E20" s="9" t="n">
        <v>45940</v>
      </c>
      <c r="F20" s="9" t="n">
        <v>46305</v>
      </c>
      <c r="G20" s="8" t="n">
        <f aca="false">F20-'LEIA-ME'!$B$4</f>
        <v>-6</v>
      </c>
      <c r="H20" s="6" t="str">
        <f aca="false">IF(G20&lt;0,"Vencido","Vence em até 30 dias")</f>
        <v>Vencido</v>
      </c>
    </row>
    <row r="21" customFormat="false" ht="15" hidden="false" customHeight="false" outlineLevel="0" collapsed="false">
      <c r="A21" s="6" t="s">
        <v>548</v>
      </c>
      <c r="B21" s="6" t="s">
        <v>69</v>
      </c>
      <c r="C21" s="6" t="s">
        <v>85</v>
      </c>
      <c r="D21" s="6" t="s">
        <v>540</v>
      </c>
      <c r="E21" s="9" t="n">
        <v>45926</v>
      </c>
      <c r="F21" s="9" t="n">
        <v>46291</v>
      </c>
      <c r="G21" s="8" t="n">
        <f aca="false">F21-'LEIA-ME'!$B$4</f>
        <v>-20</v>
      </c>
      <c r="H21" s="6" t="str">
        <f aca="false">IF(G21&lt;0,"Vencido","Vence em até 30 dias")</f>
        <v>Vencido</v>
      </c>
    </row>
    <row r="22" customFormat="false" ht="15" hidden="false" customHeight="false" outlineLevel="0" collapsed="false">
      <c r="A22" s="6" t="s">
        <v>549</v>
      </c>
      <c r="B22" s="6" t="s">
        <v>69</v>
      </c>
      <c r="C22" s="6" t="s">
        <v>87</v>
      </c>
      <c r="D22" s="6" t="s">
        <v>540</v>
      </c>
      <c r="E22" s="9" t="n">
        <v>45951</v>
      </c>
      <c r="F22" s="9" t="n">
        <v>46316</v>
      </c>
      <c r="G22" s="8" t="n">
        <f aca="false">F22-'LEIA-ME'!$B$4</f>
        <v>5</v>
      </c>
      <c r="H22" s="6" t="str">
        <f aca="false">IF(G22&lt;0,"Vencido","Vence em até 30 dias")</f>
        <v>Vence em até 30 dias</v>
      </c>
    </row>
    <row r="23" customFormat="false" ht="15" hidden="false" customHeight="false" outlineLevel="0" collapsed="false">
      <c r="A23" s="6" t="s">
        <v>550</v>
      </c>
      <c r="B23" s="6" t="s">
        <v>69</v>
      </c>
      <c r="C23" s="6" t="s">
        <v>82</v>
      </c>
      <c r="D23" s="6" t="s">
        <v>530</v>
      </c>
      <c r="E23" s="9" t="n">
        <v>45963</v>
      </c>
      <c r="F23" s="9" t="n">
        <v>46328</v>
      </c>
      <c r="G23" s="8" t="n">
        <f aca="false">F23-'LEIA-ME'!$B$4</f>
        <v>17</v>
      </c>
      <c r="H23" s="6" t="str">
        <f aca="false">IF(G23&lt;0,"Vencido","Vence em até 30 dias")</f>
        <v>Vence em até 30 dias</v>
      </c>
    </row>
    <row r="24" customFormat="false" ht="15" hidden="false" customHeight="false" outlineLevel="0" collapsed="false">
      <c r="A24" s="6" t="s">
        <v>551</v>
      </c>
      <c r="B24" s="6" t="s">
        <v>69</v>
      </c>
      <c r="C24" s="6" t="s">
        <v>85</v>
      </c>
      <c r="D24" s="6" t="s">
        <v>523</v>
      </c>
      <c r="E24" s="9" t="n">
        <v>45952</v>
      </c>
      <c r="F24" s="9" t="n">
        <v>46317</v>
      </c>
      <c r="G24" s="8" t="n">
        <f aca="false">F24-'LEIA-ME'!$B$4</f>
        <v>6</v>
      </c>
      <c r="H24" s="6" t="str">
        <f aca="false">IF(G24&lt;0,"Vencido","Vence em até 30 dias")</f>
        <v>Vence em até 30 dias</v>
      </c>
    </row>
    <row r="25" customFormat="false" ht="15" hidden="false" customHeight="false" outlineLevel="0" collapsed="false">
      <c r="A25" s="6" t="s">
        <v>552</v>
      </c>
      <c r="B25" s="6" t="s">
        <v>69</v>
      </c>
      <c r="C25" s="6" t="s">
        <v>86</v>
      </c>
      <c r="D25" s="6" t="s">
        <v>523</v>
      </c>
      <c r="E25" s="9" t="n">
        <v>45947</v>
      </c>
      <c r="F25" s="9" t="n">
        <v>46312</v>
      </c>
      <c r="G25" s="8" t="n">
        <f aca="false">F25-'LEIA-ME'!$B$4</f>
        <v>1</v>
      </c>
      <c r="H25" s="6" t="str">
        <f aca="false">IF(G25&lt;0,"Vencido","Vence em até 30 dias")</f>
        <v>Vence em até 30 dias</v>
      </c>
    </row>
    <row r="26" customFormat="false" ht="15" hidden="false" customHeight="false" outlineLevel="0" collapsed="false">
      <c r="A26" s="6" t="s">
        <v>553</v>
      </c>
      <c r="B26" s="6" t="s">
        <v>73</v>
      </c>
      <c r="C26" s="6" t="s">
        <v>84</v>
      </c>
      <c r="D26" s="6" t="s">
        <v>534</v>
      </c>
      <c r="E26" s="9" t="n">
        <v>45842</v>
      </c>
      <c r="F26" s="9" t="n">
        <v>46207</v>
      </c>
      <c r="G26" s="8" t="n">
        <f aca="false">F26-'LEIA-ME'!$B$4</f>
        <v>-104</v>
      </c>
      <c r="H26" s="6" t="str">
        <f aca="false">IF(G26&lt;0,"Vencido","Vence em até 30 dias")</f>
        <v>Vencido</v>
      </c>
    </row>
    <row r="27" customFormat="false" ht="15" hidden="false" customHeight="false" outlineLevel="0" collapsed="false">
      <c r="A27" s="6" t="s">
        <v>554</v>
      </c>
      <c r="B27" s="6" t="s">
        <v>73</v>
      </c>
      <c r="C27" s="6" t="s">
        <v>82</v>
      </c>
      <c r="D27" s="6" t="s">
        <v>528</v>
      </c>
      <c r="E27" s="9" t="n">
        <v>45825</v>
      </c>
      <c r="F27" s="9" t="n">
        <v>46190</v>
      </c>
      <c r="G27" s="8" t="n">
        <f aca="false">F27-'LEIA-ME'!$B$4</f>
        <v>-121</v>
      </c>
      <c r="H27" s="6" t="str">
        <f aca="false">IF(G27&lt;0,"Vencido","Vence em até 30 dias")</f>
        <v>Vencido</v>
      </c>
    </row>
    <row r="28" customFormat="false" ht="15" hidden="false" customHeight="false" outlineLevel="0" collapsed="false">
      <c r="A28" s="6" t="s">
        <v>555</v>
      </c>
      <c r="B28" s="6" t="s">
        <v>73</v>
      </c>
      <c r="C28" s="6" t="s">
        <v>83</v>
      </c>
      <c r="D28" s="6" t="s">
        <v>530</v>
      </c>
      <c r="E28" s="9" t="n">
        <v>45881</v>
      </c>
      <c r="F28" s="9" t="n">
        <v>46246</v>
      </c>
      <c r="G28" s="8" t="n">
        <f aca="false">F28-'LEIA-ME'!$B$4</f>
        <v>-65</v>
      </c>
      <c r="H28" s="6" t="str">
        <f aca="false">IF(G28&lt;0,"Vencido","Vence em até 30 dias")</f>
        <v>Vencido</v>
      </c>
    </row>
    <row r="29" customFormat="false" ht="15" hidden="false" customHeight="false" outlineLevel="0" collapsed="false">
      <c r="A29" s="6" t="s">
        <v>556</v>
      </c>
      <c r="B29" s="6" t="s">
        <v>73</v>
      </c>
      <c r="C29" s="6" t="s">
        <v>82</v>
      </c>
      <c r="D29" s="6" t="s">
        <v>528</v>
      </c>
      <c r="E29" s="9" t="n">
        <v>45934</v>
      </c>
      <c r="F29" s="9" t="n">
        <v>46299</v>
      </c>
      <c r="G29" s="8" t="n">
        <f aca="false">F29-'LEIA-ME'!$B$4</f>
        <v>-12</v>
      </c>
      <c r="H29" s="6" t="str">
        <f aca="false">IF(G29&lt;0,"Vencido","Vence em até 30 dias")</f>
        <v>Vencido</v>
      </c>
    </row>
    <row r="30" customFormat="false" ht="15" hidden="false" customHeight="false" outlineLevel="0" collapsed="false">
      <c r="A30" s="6" t="s">
        <v>557</v>
      </c>
      <c r="B30" s="6" t="s">
        <v>73</v>
      </c>
      <c r="C30" s="6" t="s">
        <v>82</v>
      </c>
      <c r="D30" s="6" t="s">
        <v>528</v>
      </c>
      <c r="E30" s="9" t="n">
        <v>45826</v>
      </c>
      <c r="F30" s="9" t="n">
        <v>46191</v>
      </c>
      <c r="G30" s="8" t="n">
        <f aca="false">F30-'LEIA-ME'!$B$4</f>
        <v>-120</v>
      </c>
      <c r="H30" s="6" t="str">
        <f aca="false">IF(G30&lt;0,"Vencido","Vence em até 30 dias")</f>
        <v>Vencido</v>
      </c>
    </row>
    <row r="31" customFormat="false" ht="15" hidden="false" customHeight="false" outlineLevel="0" collapsed="false">
      <c r="A31" s="6" t="s">
        <v>558</v>
      </c>
      <c r="B31" s="6" t="s">
        <v>73</v>
      </c>
      <c r="C31" s="6" t="s">
        <v>85</v>
      </c>
      <c r="D31" s="6" t="s">
        <v>540</v>
      </c>
      <c r="E31" s="9" t="n">
        <v>45865</v>
      </c>
      <c r="F31" s="9" t="n">
        <v>46230</v>
      </c>
      <c r="G31" s="8" t="n">
        <f aca="false">F31-'LEIA-ME'!$B$4</f>
        <v>-81</v>
      </c>
      <c r="H31" s="6" t="str">
        <f aca="false">IF(G31&lt;0,"Vencido","Vence em até 30 dias")</f>
        <v>Vencido</v>
      </c>
    </row>
    <row r="32" customFormat="false" ht="15" hidden="false" customHeight="false" outlineLevel="0" collapsed="false">
      <c r="A32" s="6" t="s">
        <v>559</v>
      </c>
      <c r="B32" s="6" t="s">
        <v>73</v>
      </c>
      <c r="C32" s="6" t="s">
        <v>82</v>
      </c>
      <c r="D32" s="6" t="s">
        <v>523</v>
      </c>
      <c r="E32" s="9" t="n">
        <v>45903</v>
      </c>
      <c r="F32" s="9" t="n">
        <v>46268</v>
      </c>
      <c r="G32" s="8" t="n">
        <f aca="false">F32-'LEIA-ME'!$B$4</f>
        <v>-43</v>
      </c>
      <c r="H32" s="6" t="str">
        <f aca="false">IF(G32&lt;0,"Vencido","Vence em até 30 dias")</f>
        <v>Vencido</v>
      </c>
    </row>
    <row r="33" customFormat="false" ht="15" hidden="false" customHeight="false" outlineLevel="0" collapsed="false">
      <c r="A33" s="6" t="s">
        <v>560</v>
      </c>
      <c r="B33" s="6" t="s">
        <v>73</v>
      </c>
      <c r="C33" s="6" t="s">
        <v>83</v>
      </c>
      <c r="D33" s="6" t="s">
        <v>537</v>
      </c>
      <c r="E33" s="9" t="n">
        <v>45909</v>
      </c>
      <c r="F33" s="9" t="n">
        <v>46274</v>
      </c>
      <c r="G33" s="8" t="n">
        <f aca="false">F33-'LEIA-ME'!$B$4</f>
        <v>-37</v>
      </c>
      <c r="H33" s="6" t="str">
        <f aca="false">IF(G33&lt;0,"Vencido","Vence em até 30 dias")</f>
        <v>Vencido</v>
      </c>
    </row>
    <row r="34" customFormat="false" ht="15" hidden="false" customHeight="false" outlineLevel="0" collapsed="false">
      <c r="A34" s="6" t="s">
        <v>561</v>
      </c>
      <c r="B34" s="6" t="s">
        <v>73</v>
      </c>
      <c r="C34" s="6" t="s">
        <v>82</v>
      </c>
      <c r="D34" s="6" t="s">
        <v>562</v>
      </c>
      <c r="E34" s="9" t="n">
        <v>45966</v>
      </c>
      <c r="F34" s="9" t="n">
        <v>46331</v>
      </c>
      <c r="G34" s="8" t="n">
        <f aca="false">F34-'LEIA-ME'!$B$4</f>
        <v>20</v>
      </c>
      <c r="H34" s="6" t="str">
        <f aca="false">IF(G34&lt;0,"Vencido","Vence em até 30 dias")</f>
        <v>Vence em até 30 dias</v>
      </c>
    </row>
    <row r="35" customFormat="false" ht="15" hidden="false" customHeight="false" outlineLevel="0" collapsed="false">
      <c r="A35" s="6" t="s">
        <v>563</v>
      </c>
      <c r="B35" s="6" t="s">
        <v>73</v>
      </c>
      <c r="C35" s="6" t="s">
        <v>85</v>
      </c>
      <c r="D35" s="6" t="s">
        <v>537</v>
      </c>
      <c r="E35" s="9" t="n">
        <v>45969</v>
      </c>
      <c r="F35" s="9" t="n">
        <v>46334</v>
      </c>
      <c r="G35" s="8" t="n">
        <f aca="false">F35-'LEIA-ME'!$B$4</f>
        <v>23</v>
      </c>
      <c r="H35" s="6" t="str">
        <f aca="false">IF(G35&lt;0,"Vencido","Vence em até 30 dias")</f>
        <v>Vence em até 30 dias</v>
      </c>
    </row>
    <row r="36" customFormat="false" ht="15" hidden="false" customHeight="false" outlineLevel="0" collapsed="false">
      <c r="A36" s="6" t="s">
        <v>564</v>
      </c>
      <c r="B36" s="6" t="s">
        <v>73</v>
      </c>
      <c r="C36" s="6" t="s">
        <v>85</v>
      </c>
      <c r="D36" s="6" t="s">
        <v>537</v>
      </c>
      <c r="E36" s="9" t="n">
        <v>45947</v>
      </c>
      <c r="F36" s="9" t="n">
        <v>46312</v>
      </c>
      <c r="G36" s="8" t="n">
        <f aca="false">F36-'LEIA-ME'!$B$4</f>
        <v>1</v>
      </c>
      <c r="H36" s="6" t="str">
        <f aca="false">IF(G36&lt;0,"Vencido","Vence em até 30 dias")</f>
        <v>Vence em até 30 dias</v>
      </c>
    </row>
    <row r="37" customFormat="false" ht="15" hidden="false" customHeight="false" outlineLevel="0" collapsed="false">
      <c r="A37" s="6" t="s">
        <v>565</v>
      </c>
      <c r="B37" s="6" t="s">
        <v>73</v>
      </c>
      <c r="C37" s="6" t="s">
        <v>86</v>
      </c>
      <c r="D37" s="6" t="s">
        <v>523</v>
      </c>
      <c r="E37" s="9" t="n">
        <v>45968</v>
      </c>
      <c r="F37" s="9" t="n">
        <v>46333</v>
      </c>
      <c r="G37" s="8" t="n">
        <f aca="false">F37-'LEIA-ME'!$B$4</f>
        <v>22</v>
      </c>
      <c r="H37" s="6" t="str">
        <f aca="false">IF(G37&lt;0,"Vencido","Vence em até 30 dias")</f>
        <v>Vence em até 30 dias</v>
      </c>
    </row>
    <row r="38" customFormat="false" ht="15" hidden="false" customHeight="false" outlineLevel="0" collapsed="false">
      <c r="A38" s="6" t="s">
        <v>566</v>
      </c>
      <c r="B38" s="6" t="s">
        <v>77</v>
      </c>
      <c r="C38" s="6" t="s">
        <v>86</v>
      </c>
      <c r="D38" s="6" t="s">
        <v>525</v>
      </c>
      <c r="E38" s="9" t="n">
        <v>45905</v>
      </c>
      <c r="F38" s="9" t="n">
        <v>46270</v>
      </c>
      <c r="G38" s="8" t="n">
        <f aca="false">F38-'LEIA-ME'!$B$4</f>
        <v>-41</v>
      </c>
      <c r="H38" s="6" t="str">
        <f aca="false">IF(G38&lt;0,"Vencido","Vence em até 30 dias")</f>
        <v>Vencido</v>
      </c>
    </row>
    <row r="39" customFormat="false" ht="15" hidden="false" customHeight="false" outlineLevel="0" collapsed="false">
      <c r="A39" s="6" t="s">
        <v>567</v>
      </c>
      <c r="B39" s="6" t="s">
        <v>77</v>
      </c>
      <c r="C39" s="6" t="s">
        <v>82</v>
      </c>
      <c r="D39" s="6" t="s">
        <v>523</v>
      </c>
      <c r="E39" s="9" t="n">
        <v>45864</v>
      </c>
      <c r="F39" s="9" t="n">
        <v>46229</v>
      </c>
      <c r="G39" s="8" t="n">
        <f aca="false">F39-'LEIA-ME'!$B$4</f>
        <v>-82</v>
      </c>
      <c r="H39" s="6" t="str">
        <f aca="false">IF(G39&lt;0,"Vencido","Vence em até 30 dias")</f>
        <v>Vencido</v>
      </c>
    </row>
    <row r="40" customFormat="false" ht="15" hidden="false" customHeight="false" outlineLevel="0" collapsed="false">
      <c r="A40" s="6" t="s">
        <v>568</v>
      </c>
      <c r="B40" s="6" t="s">
        <v>77</v>
      </c>
      <c r="C40" s="6" t="s">
        <v>85</v>
      </c>
      <c r="D40" s="6" t="s">
        <v>562</v>
      </c>
      <c r="E40" s="9" t="n">
        <v>45904</v>
      </c>
      <c r="F40" s="9" t="n">
        <v>46269</v>
      </c>
      <c r="G40" s="8" t="n">
        <f aca="false">F40-'LEIA-ME'!$B$4</f>
        <v>-42</v>
      </c>
      <c r="H40" s="6" t="str">
        <f aca="false">IF(G40&lt;0,"Vencido","Vence em até 30 dias")</f>
        <v>Vencido</v>
      </c>
    </row>
    <row r="41" customFormat="false" ht="15" hidden="false" customHeight="false" outlineLevel="0" collapsed="false">
      <c r="A41" s="6" t="s">
        <v>569</v>
      </c>
      <c r="B41" s="6" t="s">
        <v>77</v>
      </c>
      <c r="C41" s="6" t="s">
        <v>82</v>
      </c>
      <c r="D41" s="6" t="s">
        <v>523</v>
      </c>
      <c r="E41" s="9" t="n">
        <v>45818</v>
      </c>
      <c r="F41" s="9" t="n">
        <v>46183</v>
      </c>
      <c r="G41" s="8" t="n">
        <f aca="false">F41-'LEIA-ME'!$B$4</f>
        <v>-128</v>
      </c>
      <c r="H41" s="6" t="str">
        <f aca="false">IF(G41&lt;0,"Vencido","Vence em até 30 dias")</f>
        <v>Vencido</v>
      </c>
    </row>
    <row r="42" customFormat="false" ht="15" hidden="false" customHeight="false" outlineLevel="0" collapsed="false">
      <c r="A42" s="6" t="s">
        <v>570</v>
      </c>
      <c r="B42" s="6" t="s">
        <v>77</v>
      </c>
      <c r="C42" s="6" t="s">
        <v>86</v>
      </c>
      <c r="D42" s="6" t="s">
        <v>523</v>
      </c>
      <c r="E42" s="9" t="n">
        <v>45922</v>
      </c>
      <c r="F42" s="9" t="n">
        <v>46287</v>
      </c>
      <c r="G42" s="8" t="n">
        <f aca="false">F42-'LEIA-ME'!$B$4</f>
        <v>-24</v>
      </c>
      <c r="H42" s="6" t="str">
        <f aca="false">IF(G42&lt;0,"Vencido","Vence em até 30 dias")</f>
        <v>Vencido</v>
      </c>
    </row>
    <row r="43" customFormat="false" ht="15" hidden="false" customHeight="false" outlineLevel="0" collapsed="false">
      <c r="A43" s="6" t="s">
        <v>571</v>
      </c>
      <c r="B43" s="6" t="s">
        <v>77</v>
      </c>
      <c r="C43" s="6" t="s">
        <v>83</v>
      </c>
      <c r="D43" s="6" t="s">
        <v>540</v>
      </c>
      <c r="E43" s="9" t="n">
        <v>45829</v>
      </c>
      <c r="F43" s="9" t="n">
        <v>46194</v>
      </c>
      <c r="G43" s="8" t="n">
        <f aca="false">F43-'LEIA-ME'!$B$4</f>
        <v>-117</v>
      </c>
      <c r="H43" s="6" t="str">
        <f aca="false">IF(G43&lt;0,"Vencido","Vence em até 30 dias")</f>
        <v>Vencido</v>
      </c>
    </row>
    <row r="44" customFormat="false" ht="15" hidden="false" customHeight="false" outlineLevel="0" collapsed="false">
      <c r="A44" s="6" t="s">
        <v>572</v>
      </c>
      <c r="B44" s="6" t="s">
        <v>77</v>
      </c>
      <c r="C44" s="6" t="s">
        <v>82</v>
      </c>
      <c r="D44" s="6" t="s">
        <v>562</v>
      </c>
      <c r="E44" s="9" t="n">
        <v>45882</v>
      </c>
      <c r="F44" s="9" t="n">
        <v>46247</v>
      </c>
      <c r="G44" s="8" t="n">
        <f aca="false">F44-'LEIA-ME'!$B$4</f>
        <v>-64</v>
      </c>
      <c r="H44" s="6" t="str">
        <f aca="false">IF(G44&lt;0,"Vencido","Vence em até 30 dias")</f>
        <v>Vencido</v>
      </c>
    </row>
    <row r="45" customFormat="false" ht="15" hidden="false" customHeight="false" outlineLevel="0" collapsed="false">
      <c r="A45" s="6" t="s">
        <v>573</v>
      </c>
      <c r="B45" s="6" t="s">
        <v>77</v>
      </c>
      <c r="C45" s="6" t="s">
        <v>82</v>
      </c>
      <c r="D45" s="6" t="s">
        <v>537</v>
      </c>
      <c r="E45" s="9" t="n">
        <v>45848</v>
      </c>
      <c r="F45" s="9" t="n">
        <v>46213</v>
      </c>
      <c r="G45" s="8" t="n">
        <f aca="false">F45-'LEIA-ME'!$B$4</f>
        <v>-98</v>
      </c>
      <c r="H45" s="6" t="str">
        <f aca="false">IF(G45&lt;0,"Vencido","Vence em até 30 dias")</f>
        <v>Vencido</v>
      </c>
    </row>
    <row r="46" customFormat="false" ht="15" hidden="false" customHeight="false" outlineLevel="0" collapsed="false">
      <c r="A46" s="6" t="s">
        <v>574</v>
      </c>
      <c r="B46" s="6" t="s">
        <v>77</v>
      </c>
      <c r="C46" s="6" t="s">
        <v>86</v>
      </c>
      <c r="D46" s="6" t="s">
        <v>534</v>
      </c>
      <c r="E46" s="9" t="n">
        <v>45950</v>
      </c>
      <c r="F46" s="9" t="n">
        <v>46315</v>
      </c>
      <c r="G46" s="8" t="n">
        <f aca="false">F46-'LEIA-ME'!$B$4</f>
        <v>4</v>
      </c>
      <c r="H46" s="6" t="str">
        <f aca="false">IF(G46&lt;0,"Vencido","Vence em até 30 dias")</f>
        <v>Vence em até 30 dias</v>
      </c>
    </row>
    <row r="47" customFormat="false" ht="15" hidden="false" customHeight="false" outlineLevel="0" collapsed="false">
      <c r="A47" s="6" t="s">
        <v>575</v>
      </c>
      <c r="B47" s="6" t="s">
        <v>77</v>
      </c>
      <c r="C47" s="6" t="s">
        <v>85</v>
      </c>
      <c r="D47" s="6" t="s">
        <v>528</v>
      </c>
      <c r="E47" s="9" t="n">
        <v>45976</v>
      </c>
      <c r="F47" s="9" t="n">
        <v>46341</v>
      </c>
      <c r="G47" s="8" t="n">
        <f aca="false">F47-'LEIA-ME'!$B$4</f>
        <v>30</v>
      </c>
      <c r="H47" s="6" t="str">
        <f aca="false">IF(G47&lt;0,"Vencido","Vence em até 30 dias")</f>
        <v>Vence em até 30 dias</v>
      </c>
    </row>
    <row r="48" customFormat="false" ht="15" hidden="false" customHeight="false" outlineLevel="0" collapsed="false">
      <c r="A48" s="6" t="s">
        <v>576</v>
      </c>
      <c r="B48" s="6" t="s">
        <v>77</v>
      </c>
      <c r="C48" s="6" t="s">
        <v>87</v>
      </c>
      <c r="D48" s="6" t="s">
        <v>525</v>
      </c>
      <c r="E48" s="9" t="n">
        <v>45964</v>
      </c>
      <c r="F48" s="9" t="n">
        <v>46329</v>
      </c>
      <c r="G48" s="8" t="n">
        <f aca="false">F48-'LEIA-ME'!$B$4</f>
        <v>18</v>
      </c>
      <c r="H48" s="6" t="str">
        <f aca="false">IF(G48&lt;0,"Vencido","Vence em até 30 dias")</f>
        <v>Vence em até 30 dias</v>
      </c>
    </row>
    <row r="49" customFormat="false" ht="15" hidden="false" customHeight="false" outlineLevel="0" collapsed="false">
      <c r="A49" s="6" t="s">
        <v>577</v>
      </c>
      <c r="B49" s="6" t="s">
        <v>77</v>
      </c>
      <c r="C49" s="6" t="s">
        <v>86</v>
      </c>
      <c r="D49" s="6" t="s">
        <v>523</v>
      </c>
      <c r="E49" s="9" t="n">
        <v>45956</v>
      </c>
      <c r="F49" s="9" t="n">
        <v>46321</v>
      </c>
      <c r="G49" s="8" t="n">
        <f aca="false">F49-'LEIA-ME'!$B$4</f>
        <v>10</v>
      </c>
      <c r="H49" s="6" t="str">
        <f aca="false">IF(G49&lt;0,"Vencido","Vence em até 30 dias")</f>
        <v>Vence em até 30 dias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3" t="s">
        <v>56</v>
      </c>
      <c r="B1" s="3" t="s">
        <v>578</v>
      </c>
      <c r="C1" s="3" t="s">
        <v>579</v>
      </c>
      <c r="D1" s="3" t="s">
        <v>580</v>
      </c>
      <c r="E1" s="3" t="s">
        <v>581</v>
      </c>
    </row>
    <row r="2" customFormat="false" ht="15" hidden="false" customHeight="false" outlineLevel="0" collapsed="false">
      <c r="A2" s="6" t="s">
        <v>64</v>
      </c>
      <c r="B2" s="6" t="s">
        <v>582</v>
      </c>
      <c r="C2" s="8" t="n">
        <v>180</v>
      </c>
      <c r="D2" s="8" t="n">
        <v>165</v>
      </c>
      <c r="E2" s="10" t="n">
        <f aca="false">IF(C2=0,0,D2/C2)</f>
        <v>0.916666666666667</v>
      </c>
    </row>
    <row r="3" customFormat="false" ht="15" hidden="false" customHeight="false" outlineLevel="0" collapsed="false">
      <c r="A3" s="6" t="s">
        <v>64</v>
      </c>
      <c r="B3" s="6" t="s">
        <v>583</v>
      </c>
      <c r="C3" s="8" t="n">
        <v>492</v>
      </c>
      <c r="D3" s="8" t="n">
        <v>492</v>
      </c>
      <c r="E3" s="10" t="n">
        <f aca="false">IF(C3=0,0,D3/C3)</f>
        <v>1</v>
      </c>
    </row>
    <row r="4" customFormat="false" ht="15" hidden="false" customHeight="false" outlineLevel="0" collapsed="false">
      <c r="A4" s="6" t="s">
        <v>64</v>
      </c>
      <c r="B4" s="6" t="s">
        <v>584</v>
      </c>
      <c r="C4" s="8" t="n">
        <v>328</v>
      </c>
      <c r="D4" s="8" t="n">
        <v>324</v>
      </c>
      <c r="E4" s="10" t="n">
        <f aca="false">IF(C4=0,0,D4/C4)</f>
        <v>0.987804878048781</v>
      </c>
    </row>
    <row r="5" customFormat="false" ht="15" hidden="false" customHeight="false" outlineLevel="0" collapsed="false">
      <c r="A5" s="6" t="s">
        <v>64</v>
      </c>
      <c r="B5" s="6" t="s">
        <v>585</v>
      </c>
      <c r="C5" s="8" t="n">
        <v>246</v>
      </c>
      <c r="D5" s="8" t="n">
        <v>239</v>
      </c>
      <c r="E5" s="10" t="n">
        <f aca="false">IF(C5=0,0,D5/C5)</f>
        <v>0.971544715447155</v>
      </c>
    </row>
    <row r="6" customFormat="false" ht="15" hidden="false" customHeight="false" outlineLevel="0" collapsed="false">
      <c r="A6" s="6" t="s">
        <v>64</v>
      </c>
      <c r="B6" s="6" t="s">
        <v>586</v>
      </c>
      <c r="C6" s="8" t="n">
        <v>164</v>
      </c>
      <c r="D6" s="8" t="n">
        <v>137</v>
      </c>
      <c r="E6" s="10" t="n">
        <f aca="false">IF(C6=0,0,D6/C6)</f>
        <v>0.835365853658537</v>
      </c>
    </row>
    <row r="7" customFormat="false" ht="15" hidden="false" customHeight="false" outlineLevel="0" collapsed="false">
      <c r="A7" s="6" t="s">
        <v>64</v>
      </c>
      <c r="B7" s="6" t="s">
        <v>587</v>
      </c>
      <c r="C7" s="8" t="n">
        <v>82</v>
      </c>
      <c r="D7" s="8" t="n">
        <v>65</v>
      </c>
      <c r="E7" s="10" t="n">
        <f aca="false">IF(C7=0,0,D7/C7)</f>
        <v>0.792682926829268</v>
      </c>
    </row>
    <row r="8" customFormat="false" ht="15" hidden="false" customHeight="false" outlineLevel="0" collapsed="false">
      <c r="A8" s="6" t="s">
        <v>69</v>
      </c>
      <c r="B8" s="6" t="s">
        <v>582</v>
      </c>
      <c r="C8" s="8" t="n">
        <v>633</v>
      </c>
      <c r="D8" s="8" t="n">
        <v>543</v>
      </c>
      <c r="E8" s="10" t="n">
        <f aca="false">IF(C8=0,0,D8/C8)</f>
        <v>0.85781990521327</v>
      </c>
    </row>
    <row r="9" customFormat="false" ht="15" hidden="false" customHeight="false" outlineLevel="0" collapsed="false">
      <c r="A9" s="6" t="s">
        <v>69</v>
      </c>
      <c r="B9" s="6" t="s">
        <v>583</v>
      </c>
      <c r="C9" s="8" t="n">
        <v>690</v>
      </c>
      <c r="D9" s="8" t="n">
        <v>690</v>
      </c>
      <c r="E9" s="10" t="n">
        <f aca="false">IF(C9=0,0,D9/C9)</f>
        <v>1</v>
      </c>
    </row>
    <row r="10" customFormat="false" ht="15" hidden="false" customHeight="false" outlineLevel="0" collapsed="false">
      <c r="A10" s="6" t="s">
        <v>69</v>
      </c>
      <c r="B10" s="6" t="s">
        <v>584</v>
      </c>
      <c r="C10" s="8" t="n">
        <v>460</v>
      </c>
      <c r="D10" s="8" t="n">
        <v>459</v>
      </c>
      <c r="E10" s="10" t="n">
        <f aca="false">IF(C10=0,0,D10/C10)</f>
        <v>0.997826086956522</v>
      </c>
    </row>
    <row r="11" customFormat="false" ht="15" hidden="false" customHeight="false" outlineLevel="0" collapsed="false">
      <c r="A11" s="6" t="s">
        <v>69</v>
      </c>
      <c r="B11" s="6" t="s">
        <v>585</v>
      </c>
      <c r="C11" s="8" t="n">
        <v>345</v>
      </c>
      <c r="D11" s="8" t="n">
        <v>319</v>
      </c>
      <c r="E11" s="10" t="n">
        <f aca="false">IF(C11=0,0,D11/C11)</f>
        <v>0.92463768115942</v>
      </c>
    </row>
    <row r="12" customFormat="false" ht="15" hidden="false" customHeight="false" outlineLevel="0" collapsed="false">
      <c r="A12" s="6" t="s">
        <v>69</v>
      </c>
      <c r="B12" s="6" t="s">
        <v>586</v>
      </c>
      <c r="C12" s="8" t="n">
        <v>230</v>
      </c>
      <c r="D12" s="8" t="n">
        <v>195</v>
      </c>
      <c r="E12" s="10" t="n">
        <f aca="false">IF(C12=0,0,D12/C12)</f>
        <v>0.847826086956522</v>
      </c>
    </row>
    <row r="13" customFormat="false" ht="15" hidden="false" customHeight="false" outlineLevel="0" collapsed="false">
      <c r="A13" s="6" t="s">
        <v>69</v>
      </c>
      <c r="B13" s="6" t="s">
        <v>587</v>
      </c>
      <c r="C13" s="8" t="n">
        <v>115</v>
      </c>
      <c r="D13" s="8" t="n">
        <v>90</v>
      </c>
      <c r="E13" s="10" t="n">
        <f aca="false">IF(C13=0,0,D13/C13)</f>
        <v>0.782608695652174</v>
      </c>
    </row>
    <row r="14" customFormat="false" ht="15" hidden="false" customHeight="false" outlineLevel="0" collapsed="false">
      <c r="A14" s="6" t="s">
        <v>73</v>
      </c>
      <c r="B14" s="6" t="s">
        <v>582</v>
      </c>
      <c r="C14" s="8" t="n">
        <v>226</v>
      </c>
      <c r="D14" s="8" t="n">
        <v>201</v>
      </c>
      <c r="E14" s="10" t="n">
        <f aca="false">IF(C14=0,0,D14/C14)</f>
        <v>0.889380530973451</v>
      </c>
    </row>
    <row r="15" customFormat="false" ht="15" hidden="false" customHeight="false" outlineLevel="0" collapsed="false">
      <c r="A15" s="6" t="s">
        <v>73</v>
      </c>
      <c r="B15" s="6" t="s">
        <v>583</v>
      </c>
      <c r="C15" s="8" t="n">
        <v>246</v>
      </c>
      <c r="D15" s="8" t="n">
        <v>235</v>
      </c>
      <c r="E15" s="10" t="n">
        <f aca="false">IF(C15=0,0,D15/C15)</f>
        <v>0.955284552845529</v>
      </c>
    </row>
    <row r="16" customFormat="false" ht="15" hidden="false" customHeight="false" outlineLevel="0" collapsed="false">
      <c r="A16" s="6" t="s">
        <v>73</v>
      </c>
      <c r="B16" s="6" t="s">
        <v>584</v>
      </c>
      <c r="C16" s="8" t="n">
        <v>164</v>
      </c>
      <c r="D16" s="8" t="n">
        <v>156</v>
      </c>
      <c r="E16" s="10" t="n">
        <f aca="false">IF(C16=0,0,D16/C16)</f>
        <v>0.951219512195122</v>
      </c>
    </row>
    <row r="17" customFormat="false" ht="15" hidden="false" customHeight="false" outlineLevel="0" collapsed="false">
      <c r="A17" s="6" t="s">
        <v>73</v>
      </c>
      <c r="B17" s="6" t="s">
        <v>585</v>
      </c>
      <c r="C17" s="8" t="n">
        <v>123</v>
      </c>
      <c r="D17" s="8" t="n">
        <v>116</v>
      </c>
      <c r="E17" s="10" t="n">
        <f aca="false">IF(C17=0,0,D17/C17)</f>
        <v>0.943089430894309</v>
      </c>
    </row>
    <row r="18" customFormat="false" ht="15" hidden="false" customHeight="false" outlineLevel="0" collapsed="false">
      <c r="A18" s="6" t="s">
        <v>73</v>
      </c>
      <c r="B18" s="6" t="s">
        <v>586</v>
      </c>
      <c r="C18" s="8" t="n">
        <v>82</v>
      </c>
      <c r="D18" s="8" t="n">
        <v>65</v>
      </c>
      <c r="E18" s="10" t="n">
        <f aca="false">IF(C18=0,0,D18/C18)</f>
        <v>0.792682926829268</v>
      </c>
    </row>
    <row r="19" customFormat="false" ht="15" hidden="false" customHeight="false" outlineLevel="0" collapsed="false">
      <c r="A19" s="6" t="s">
        <v>73</v>
      </c>
      <c r="B19" s="6" t="s">
        <v>587</v>
      </c>
      <c r="C19" s="8" t="n">
        <v>41</v>
      </c>
      <c r="D19" s="8" t="n">
        <v>32</v>
      </c>
      <c r="E19" s="10" t="n">
        <f aca="false">IF(C19=0,0,D19/C19)</f>
        <v>0.780487804878049</v>
      </c>
    </row>
    <row r="20" customFormat="false" ht="15" hidden="false" customHeight="false" outlineLevel="0" collapsed="false">
      <c r="A20" s="6" t="s">
        <v>77</v>
      </c>
      <c r="B20" s="6" t="s">
        <v>582</v>
      </c>
      <c r="C20" s="8" t="n">
        <v>308</v>
      </c>
      <c r="D20" s="8" t="n">
        <v>266</v>
      </c>
      <c r="E20" s="10" t="n">
        <f aca="false">IF(C20=0,0,D20/C20)</f>
        <v>0.863636363636364</v>
      </c>
    </row>
    <row r="21" customFormat="false" ht="15" hidden="false" customHeight="false" outlineLevel="0" collapsed="false">
      <c r="A21" s="6" t="s">
        <v>77</v>
      </c>
      <c r="B21" s="6" t="s">
        <v>583</v>
      </c>
      <c r="C21" s="8" t="n">
        <v>336</v>
      </c>
      <c r="D21" s="8" t="n">
        <v>321</v>
      </c>
      <c r="E21" s="10" t="n">
        <f aca="false">IF(C21=0,0,D21/C21)</f>
        <v>0.955357142857143</v>
      </c>
    </row>
    <row r="22" customFormat="false" ht="15" hidden="false" customHeight="false" outlineLevel="0" collapsed="false">
      <c r="A22" s="6" t="s">
        <v>77</v>
      </c>
      <c r="B22" s="6" t="s">
        <v>584</v>
      </c>
      <c r="C22" s="8" t="n">
        <v>224</v>
      </c>
      <c r="D22" s="8" t="n">
        <v>214</v>
      </c>
      <c r="E22" s="10" t="n">
        <f aca="false">IF(C22=0,0,D22/C22)</f>
        <v>0.955357142857143</v>
      </c>
    </row>
    <row r="23" customFormat="false" ht="15" hidden="false" customHeight="false" outlineLevel="0" collapsed="false">
      <c r="A23" s="6" t="s">
        <v>77</v>
      </c>
      <c r="B23" s="6" t="s">
        <v>585</v>
      </c>
      <c r="C23" s="8" t="n">
        <v>168</v>
      </c>
      <c r="D23" s="8" t="n">
        <v>153</v>
      </c>
      <c r="E23" s="10" t="n">
        <f aca="false">IF(C23=0,0,D23/C23)</f>
        <v>0.910714285714286</v>
      </c>
    </row>
    <row r="24" customFormat="false" ht="15" hidden="false" customHeight="false" outlineLevel="0" collapsed="false">
      <c r="A24" s="6" t="s">
        <v>77</v>
      </c>
      <c r="B24" s="6" t="s">
        <v>586</v>
      </c>
      <c r="C24" s="8" t="n">
        <v>112</v>
      </c>
      <c r="D24" s="8" t="n">
        <v>91</v>
      </c>
      <c r="E24" s="10" t="n">
        <f aca="false">IF(C24=0,0,D24/C24)</f>
        <v>0.8125</v>
      </c>
    </row>
    <row r="25" customFormat="false" ht="15" hidden="false" customHeight="false" outlineLevel="0" collapsed="false">
      <c r="A25" s="6" t="s">
        <v>77</v>
      </c>
      <c r="B25" s="6" t="s">
        <v>587</v>
      </c>
      <c r="C25" s="8" t="n">
        <v>56</v>
      </c>
      <c r="D25" s="8" t="n">
        <v>44</v>
      </c>
      <c r="E25" s="10" t="n">
        <f aca="false">IF(C25=0,0,D25/C25)</f>
        <v>0.785714285714286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56</v>
      </c>
      <c r="B1" s="3" t="s">
        <v>588</v>
      </c>
      <c r="C1" s="3" t="s">
        <v>589</v>
      </c>
    </row>
    <row r="2" customFormat="false" ht="15" hidden="false" customHeight="false" outlineLevel="0" collapsed="false">
      <c r="A2" s="6" t="s">
        <v>64</v>
      </c>
      <c r="B2" s="6" t="s">
        <v>590</v>
      </c>
      <c r="C2" s="8" t="n">
        <v>106</v>
      </c>
    </row>
    <row r="3" customFormat="false" ht="15" hidden="false" customHeight="false" outlineLevel="0" collapsed="false">
      <c r="A3" s="6" t="s">
        <v>64</v>
      </c>
      <c r="B3" s="6" t="s">
        <v>591</v>
      </c>
      <c r="C3" s="8" t="n">
        <v>90</v>
      </c>
    </row>
    <row r="4" customFormat="false" ht="15" hidden="false" customHeight="false" outlineLevel="0" collapsed="false">
      <c r="A4" s="6" t="s">
        <v>64</v>
      </c>
      <c r="B4" s="6" t="s">
        <v>592</v>
      </c>
      <c r="C4" s="8" t="n">
        <v>41</v>
      </c>
    </row>
    <row r="5" customFormat="false" ht="15" hidden="false" customHeight="false" outlineLevel="0" collapsed="false">
      <c r="A5" s="6" t="s">
        <v>64</v>
      </c>
      <c r="B5" s="6" t="s">
        <v>593</v>
      </c>
      <c r="C5" s="8" t="n">
        <v>51</v>
      </c>
    </row>
    <row r="6" customFormat="false" ht="15" hidden="false" customHeight="false" outlineLevel="0" collapsed="false">
      <c r="A6" s="6" t="s">
        <v>64</v>
      </c>
      <c r="B6" s="6" t="s">
        <v>594</v>
      </c>
      <c r="C6" s="8" t="n">
        <v>49</v>
      </c>
    </row>
    <row r="7" customFormat="false" ht="15" hidden="false" customHeight="false" outlineLevel="0" collapsed="false">
      <c r="A7" s="6" t="s">
        <v>69</v>
      </c>
      <c r="B7" s="6" t="s">
        <v>590</v>
      </c>
      <c r="C7" s="8" t="n">
        <v>175</v>
      </c>
    </row>
    <row r="8" customFormat="false" ht="15" hidden="false" customHeight="false" outlineLevel="0" collapsed="false">
      <c r="A8" s="6" t="s">
        <v>69</v>
      </c>
      <c r="B8" s="6" t="s">
        <v>591</v>
      </c>
      <c r="C8" s="8" t="n">
        <v>171</v>
      </c>
    </row>
    <row r="9" customFormat="false" ht="15" hidden="false" customHeight="false" outlineLevel="0" collapsed="false">
      <c r="A9" s="6" t="s">
        <v>69</v>
      </c>
      <c r="B9" s="6" t="s">
        <v>592</v>
      </c>
      <c r="C9" s="8" t="n">
        <v>97</v>
      </c>
    </row>
    <row r="10" customFormat="false" ht="15" hidden="false" customHeight="false" outlineLevel="0" collapsed="false">
      <c r="A10" s="6" t="s">
        <v>69</v>
      </c>
      <c r="B10" s="6" t="s">
        <v>593</v>
      </c>
      <c r="C10" s="8" t="n">
        <v>60</v>
      </c>
    </row>
    <row r="11" customFormat="false" ht="15" hidden="false" customHeight="false" outlineLevel="0" collapsed="false">
      <c r="A11" s="6" t="s">
        <v>69</v>
      </c>
      <c r="B11" s="6" t="s">
        <v>594</v>
      </c>
      <c r="C11" s="8" t="n">
        <v>78</v>
      </c>
    </row>
    <row r="12" customFormat="false" ht="15" hidden="false" customHeight="false" outlineLevel="0" collapsed="false">
      <c r="A12" s="6" t="s">
        <v>73</v>
      </c>
      <c r="B12" s="6" t="s">
        <v>590</v>
      </c>
      <c r="C12" s="8" t="n">
        <v>73</v>
      </c>
    </row>
    <row r="13" customFormat="false" ht="15" hidden="false" customHeight="false" outlineLevel="0" collapsed="false">
      <c r="A13" s="6" t="s">
        <v>73</v>
      </c>
      <c r="B13" s="6" t="s">
        <v>591</v>
      </c>
      <c r="C13" s="8" t="n">
        <v>63</v>
      </c>
    </row>
    <row r="14" customFormat="false" ht="15" hidden="false" customHeight="false" outlineLevel="0" collapsed="false">
      <c r="A14" s="6" t="s">
        <v>73</v>
      </c>
      <c r="B14" s="6" t="s">
        <v>592</v>
      </c>
      <c r="C14" s="8" t="n">
        <v>73</v>
      </c>
    </row>
    <row r="15" customFormat="false" ht="15" hidden="false" customHeight="false" outlineLevel="0" collapsed="false">
      <c r="A15" s="6" t="s">
        <v>73</v>
      </c>
      <c r="B15" s="6" t="s">
        <v>593</v>
      </c>
      <c r="C15" s="8" t="n">
        <v>29</v>
      </c>
    </row>
    <row r="16" customFormat="false" ht="15" hidden="false" customHeight="false" outlineLevel="0" collapsed="false">
      <c r="A16" s="6" t="s">
        <v>73</v>
      </c>
      <c r="B16" s="6" t="s">
        <v>594</v>
      </c>
      <c r="C16" s="8" t="n">
        <v>36</v>
      </c>
    </row>
    <row r="17" customFormat="false" ht="15" hidden="false" customHeight="false" outlineLevel="0" collapsed="false">
      <c r="A17" s="6" t="s">
        <v>77</v>
      </c>
      <c r="B17" s="6" t="s">
        <v>590</v>
      </c>
      <c r="C17" s="8" t="n">
        <v>135</v>
      </c>
    </row>
    <row r="18" customFormat="false" ht="15" hidden="false" customHeight="false" outlineLevel="0" collapsed="false">
      <c r="A18" s="6" t="s">
        <v>77</v>
      </c>
      <c r="B18" s="6" t="s">
        <v>591</v>
      </c>
      <c r="C18" s="8" t="n">
        <v>108</v>
      </c>
    </row>
    <row r="19" customFormat="false" ht="15" hidden="false" customHeight="false" outlineLevel="0" collapsed="false">
      <c r="A19" s="6" t="s">
        <v>77</v>
      </c>
      <c r="B19" s="6" t="s">
        <v>592</v>
      </c>
      <c r="C19" s="8" t="n">
        <v>138</v>
      </c>
    </row>
    <row r="20" customFormat="false" ht="15" hidden="false" customHeight="false" outlineLevel="0" collapsed="false">
      <c r="A20" s="6" t="s">
        <v>77</v>
      </c>
      <c r="B20" s="6" t="s">
        <v>593</v>
      </c>
      <c r="C20" s="8" t="n">
        <v>40</v>
      </c>
    </row>
    <row r="21" customFormat="false" ht="15" hidden="false" customHeight="false" outlineLevel="0" collapsed="false">
      <c r="A21" s="6" t="s">
        <v>77</v>
      </c>
      <c r="B21" s="6" t="s">
        <v>594</v>
      </c>
      <c r="C21" s="8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3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3" t="s">
        <v>56</v>
      </c>
      <c r="B1" s="3" t="s">
        <v>595</v>
      </c>
      <c r="C1" s="3" t="s">
        <v>596</v>
      </c>
      <c r="D1" s="3" t="s">
        <v>597</v>
      </c>
      <c r="E1" s="3" t="s">
        <v>598</v>
      </c>
      <c r="F1" s="3" t="s">
        <v>599</v>
      </c>
      <c r="G1" s="3" t="s">
        <v>600</v>
      </c>
      <c r="H1" s="3" t="s">
        <v>601</v>
      </c>
    </row>
    <row r="2" customFormat="false" ht="15" hidden="false" customHeight="false" outlineLevel="0" collapsed="false">
      <c r="A2" s="6" t="s">
        <v>64</v>
      </c>
      <c r="B2" s="6" t="s">
        <v>602</v>
      </c>
      <c r="C2" s="6" t="s">
        <v>603</v>
      </c>
      <c r="D2" s="6" t="s">
        <v>604</v>
      </c>
      <c r="E2" s="8" t="n">
        <v>36</v>
      </c>
      <c r="F2" s="6" t="s">
        <v>605</v>
      </c>
      <c r="G2" s="6" t="n">
        <v>0</v>
      </c>
      <c r="H2" s="6" t="str">
        <f aca="false">IF(G2=0,"Controlado",IF(G2=1,"Em adequação","Sem controle eficaz"))</f>
        <v>Controlado</v>
      </c>
    </row>
    <row r="3" customFormat="false" ht="15" hidden="false" customHeight="false" outlineLevel="0" collapsed="false">
      <c r="A3" s="6" t="s">
        <v>64</v>
      </c>
      <c r="B3" s="6" t="s">
        <v>606</v>
      </c>
      <c r="C3" s="6" t="s">
        <v>607</v>
      </c>
      <c r="D3" s="6" t="s">
        <v>608</v>
      </c>
      <c r="E3" s="8" t="n">
        <v>14</v>
      </c>
      <c r="F3" s="6" t="s">
        <v>605</v>
      </c>
      <c r="G3" s="6" t="n">
        <v>0</v>
      </c>
      <c r="H3" s="6" t="str">
        <f aca="false">IF(G3=0,"Controlado",IF(G3=1,"Em adequação","Sem controle eficaz"))</f>
        <v>Controlado</v>
      </c>
    </row>
    <row r="4" customFormat="false" ht="15" hidden="false" customHeight="false" outlineLevel="0" collapsed="false">
      <c r="A4" s="6" t="s">
        <v>64</v>
      </c>
      <c r="B4" s="6" t="s">
        <v>609</v>
      </c>
      <c r="C4" s="6" t="s">
        <v>610</v>
      </c>
      <c r="D4" s="6" t="s">
        <v>85</v>
      </c>
      <c r="E4" s="8" t="n">
        <v>10</v>
      </c>
      <c r="F4" s="6" t="s">
        <v>605</v>
      </c>
      <c r="G4" s="6" t="n">
        <v>0</v>
      </c>
      <c r="H4" s="6" t="str">
        <f aca="false">IF(G4=0,"Controlado",IF(G4=1,"Em adequação","Sem controle eficaz"))</f>
        <v>Controlado</v>
      </c>
    </row>
    <row r="5" customFormat="false" ht="15" hidden="false" customHeight="false" outlineLevel="0" collapsed="false">
      <c r="A5" s="6" t="s">
        <v>64</v>
      </c>
      <c r="B5" s="6" t="s">
        <v>611</v>
      </c>
      <c r="C5" s="6" t="s">
        <v>612</v>
      </c>
      <c r="D5" s="6" t="s">
        <v>84</v>
      </c>
      <c r="E5" s="8" t="n">
        <v>14</v>
      </c>
      <c r="F5" s="6" t="s">
        <v>613</v>
      </c>
      <c r="G5" s="6" t="n">
        <v>0</v>
      </c>
      <c r="H5" s="6" t="str">
        <f aca="false">IF(G5=0,"Controlado",IF(G5=1,"Em adequação","Sem controle eficaz"))</f>
        <v>Controlado</v>
      </c>
    </row>
    <row r="6" customFormat="false" ht="15" hidden="false" customHeight="false" outlineLevel="0" collapsed="false">
      <c r="A6" s="6" t="s">
        <v>64</v>
      </c>
      <c r="B6" s="6" t="s">
        <v>614</v>
      </c>
      <c r="C6" s="6" t="s">
        <v>615</v>
      </c>
      <c r="D6" s="6" t="s">
        <v>86</v>
      </c>
      <c r="E6" s="8" t="n">
        <v>12</v>
      </c>
      <c r="F6" s="6" t="s">
        <v>605</v>
      </c>
      <c r="G6" s="6" t="n">
        <v>0</v>
      </c>
      <c r="H6" s="6" t="str">
        <f aca="false">IF(G6=0,"Controlado",IF(G6=1,"Em adequação","Sem controle eficaz"))</f>
        <v>Controlado</v>
      </c>
    </row>
    <row r="7" customFormat="false" ht="15" hidden="false" customHeight="false" outlineLevel="0" collapsed="false">
      <c r="A7" s="6" t="s">
        <v>69</v>
      </c>
      <c r="B7" s="6" t="s">
        <v>602</v>
      </c>
      <c r="C7" s="6" t="s">
        <v>603</v>
      </c>
      <c r="D7" s="6" t="s">
        <v>604</v>
      </c>
      <c r="E7" s="8" t="n">
        <v>211</v>
      </c>
      <c r="F7" s="6" t="s">
        <v>605</v>
      </c>
      <c r="G7" s="6" t="n">
        <v>0</v>
      </c>
      <c r="H7" s="6" t="str">
        <f aca="false">IF(G7=0,"Controlado",IF(G7=1,"Em adequação","Sem controle eficaz"))</f>
        <v>Controlado</v>
      </c>
    </row>
    <row r="8" customFormat="false" ht="15" hidden="false" customHeight="false" outlineLevel="0" collapsed="false">
      <c r="A8" s="6" t="s">
        <v>69</v>
      </c>
      <c r="B8" s="6" t="s">
        <v>606</v>
      </c>
      <c r="C8" s="6" t="s">
        <v>607</v>
      </c>
      <c r="D8" s="6" t="s">
        <v>608</v>
      </c>
      <c r="E8" s="8" t="n">
        <v>51</v>
      </c>
      <c r="F8" s="6" t="s">
        <v>605</v>
      </c>
      <c r="G8" s="6" t="n">
        <v>0</v>
      </c>
      <c r="H8" s="6" t="str">
        <f aca="false">IF(G8=0,"Controlado",IF(G8=1,"Em adequação","Sem controle eficaz"))</f>
        <v>Controlado</v>
      </c>
    </row>
    <row r="9" customFormat="false" ht="15" hidden="false" customHeight="false" outlineLevel="0" collapsed="false">
      <c r="A9" s="6" t="s">
        <v>69</v>
      </c>
      <c r="B9" s="6" t="s">
        <v>609</v>
      </c>
      <c r="C9" s="6" t="s">
        <v>610</v>
      </c>
      <c r="D9" s="6" t="s">
        <v>85</v>
      </c>
      <c r="E9" s="8" t="n">
        <v>55</v>
      </c>
      <c r="F9" s="6" t="s">
        <v>605</v>
      </c>
      <c r="G9" s="6" t="n">
        <v>0</v>
      </c>
      <c r="H9" s="6" t="str">
        <f aca="false">IF(G9=0,"Controlado",IF(G9=1,"Em adequação","Sem controle eficaz"))</f>
        <v>Controlado</v>
      </c>
    </row>
    <row r="10" customFormat="false" ht="15" hidden="false" customHeight="false" outlineLevel="0" collapsed="false">
      <c r="A10" s="6" t="s">
        <v>69</v>
      </c>
      <c r="B10" s="6" t="s">
        <v>611</v>
      </c>
      <c r="C10" s="6" t="s">
        <v>612</v>
      </c>
      <c r="D10" s="6" t="s">
        <v>84</v>
      </c>
      <c r="E10" s="8" t="n">
        <v>58</v>
      </c>
      <c r="F10" s="6" t="s">
        <v>613</v>
      </c>
      <c r="G10" s="6" t="n">
        <v>0</v>
      </c>
      <c r="H10" s="6" t="str">
        <f aca="false">IF(G10=0,"Controlado",IF(G10=1,"Em adequação","Sem controle eficaz"))</f>
        <v>Controlado</v>
      </c>
    </row>
    <row r="11" customFormat="false" ht="15" hidden="false" customHeight="false" outlineLevel="0" collapsed="false">
      <c r="A11" s="6" t="s">
        <v>69</v>
      </c>
      <c r="B11" s="6" t="s">
        <v>614</v>
      </c>
      <c r="C11" s="6" t="s">
        <v>615</v>
      </c>
      <c r="D11" s="6" t="s">
        <v>86</v>
      </c>
      <c r="E11" s="8" t="n">
        <v>63</v>
      </c>
      <c r="F11" s="6" t="s">
        <v>605</v>
      </c>
      <c r="G11" s="6" t="n">
        <v>0</v>
      </c>
      <c r="H11" s="6" t="str">
        <f aca="false">IF(G11=0,"Controlado",IF(G11=1,"Em adequação","Sem controle eficaz"))</f>
        <v>Controlado</v>
      </c>
    </row>
    <row r="12" customFormat="false" ht="15" hidden="false" customHeight="false" outlineLevel="0" collapsed="false">
      <c r="A12" s="6" t="s">
        <v>73</v>
      </c>
      <c r="B12" s="6" t="s">
        <v>602</v>
      </c>
      <c r="C12" s="6" t="s">
        <v>603</v>
      </c>
      <c r="D12" s="6" t="s">
        <v>604</v>
      </c>
      <c r="E12" s="8" t="n">
        <v>66</v>
      </c>
      <c r="F12" s="6" t="s">
        <v>605</v>
      </c>
      <c r="G12" s="6" t="n">
        <v>0</v>
      </c>
      <c r="H12" s="6" t="str">
        <f aca="false">IF(G12=0,"Controlado",IF(G12=1,"Em adequação","Sem controle eficaz"))</f>
        <v>Controlado</v>
      </c>
    </row>
    <row r="13" customFormat="false" ht="15" hidden="false" customHeight="false" outlineLevel="0" collapsed="false">
      <c r="A13" s="6" t="s">
        <v>73</v>
      </c>
      <c r="B13" s="6" t="s">
        <v>606</v>
      </c>
      <c r="C13" s="6" t="s">
        <v>607</v>
      </c>
      <c r="D13" s="6" t="s">
        <v>608</v>
      </c>
      <c r="E13" s="8" t="n">
        <v>15</v>
      </c>
      <c r="F13" s="6" t="s">
        <v>605</v>
      </c>
      <c r="G13" s="6" t="n">
        <v>0</v>
      </c>
      <c r="H13" s="6" t="str">
        <f aca="false">IF(G13=0,"Controlado",IF(G13=1,"Em adequação","Sem controle eficaz"))</f>
        <v>Controlado</v>
      </c>
    </row>
    <row r="14" customFormat="false" ht="15" hidden="false" customHeight="false" outlineLevel="0" collapsed="false">
      <c r="A14" s="6" t="s">
        <v>73</v>
      </c>
      <c r="B14" s="6" t="s">
        <v>609</v>
      </c>
      <c r="C14" s="6" t="s">
        <v>610</v>
      </c>
      <c r="D14" s="6" t="s">
        <v>85</v>
      </c>
      <c r="E14" s="8" t="n">
        <v>14</v>
      </c>
      <c r="F14" s="6" t="s">
        <v>605</v>
      </c>
      <c r="G14" s="6" t="n">
        <v>0</v>
      </c>
      <c r="H14" s="6" t="str">
        <f aca="false">IF(G14=0,"Controlado",IF(G14=1,"Em adequação","Sem controle eficaz"))</f>
        <v>Controlado</v>
      </c>
    </row>
    <row r="15" customFormat="false" ht="15" hidden="false" customHeight="false" outlineLevel="0" collapsed="false">
      <c r="A15" s="6" t="s">
        <v>73</v>
      </c>
      <c r="B15" s="6" t="s">
        <v>611</v>
      </c>
      <c r="C15" s="6" t="s">
        <v>612</v>
      </c>
      <c r="D15" s="6" t="s">
        <v>84</v>
      </c>
      <c r="E15" s="8" t="n">
        <v>19</v>
      </c>
      <c r="F15" s="6" t="s">
        <v>613</v>
      </c>
      <c r="G15" s="6" t="n">
        <v>1</v>
      </c>
      <c r="H15" s="6" t="str">
        <f aca="false">IF(G15=0,"Controlado",IF(G15=1,"Em adequação","Sem controle eficaz"))</f>
        <v>Em adequação</v>
      </c>
    </row>
    <row r="16" customFormat="false" ht="15" hidden="false" customHeight="false" outlineLevel="0" collapsed="false">
      <c r="A16" s="6" t="s">
        <v>73</v>
      </c>
      <c r="B16" s="6" t="s">
        <v>614</v>
      </c>
      <c r="C16" s="6" t="s">
        <v>615</v>
      </c>
      <c r="D16" s="6" t="s">
        <v>86</v>
      </c>
      <c r="E16" s="8" t="n">
        <v>17</v>
      </c>
      <c r="F16" s="6" t="s">
        <v>605</v>
      </c>
      <c r="G16" s="6" t="n">
        <v>0</v>
      </c>
      <c r="H16" s="6" t="str">
        <f aca="false">IF(G16=0,"Controlado",IF(G16=1,"Em adequação","Sem controle eficaz"))</f>
        <v>Controlado</v>
      </c>
    </row>
    <row r="17" customFormat="false" ht="15" hidden="false" customHeight="false" outlineLevel="0" collapsed="false">
      <c r="A17" s="6" t="s">
        <v>77</v>
      </c>
      <c r="B17" s="6" t="s">
        <v>602</v>
      </c>
      <c r="C17" s="6" t="s">
        <v>603</v>
      </c>
      <c r="D17" s="6" t="s">
        <v>604</v>
      </c>
      <c r="E17" s="8" t="n">
        <v>123</v>
      </c>
      <c r="F17" s="6" t="s">
        <v>605</v>
      </c>
      <c r="G17" s="6" t="n">
        <v>1</v>
      </c>
      <c r="H17" s="6" t="str">
        <f aca="false">IF(G17=0,"Controlado",IF(G17=1,"Em adequação","Sem controle eficaz"))</f>
        <v>Em adequação</v>
      </c>
    </row>
    <row r="18" customFormat="false" ht="15" hidden="false" customHeight="false" outlineLevel="0" collapsed="false">
      <c r="A18" s="6" t="s">
        <v>77</v>
      </c>
      <c r="B18" s="6" t="s">
        <v>606</v>
      </c>
      <c r="C18" s="6" t="s">
        <v>607</v>
      </c>
      <c r="D18" s="6" t="s">
        <v>608</v>
      </c>
      <c r="E18" s="8" t="n">
        <v>29</v>
      </c>
      <c r="F18" s="6" t="s">
        <v>605</v>
      </c>
      <c r="G18" s="6" t="n">
        <v>0</v>
      </c>
      <c r="H18" s="6" t="str">
        <f aca="false">IF(G18=0,"Controlado",IF(G18=1,"Em adequação","Sem controle eficaz"))</f>
        <v>Controlado</v>
      </c>
    </row>
    <row r="19" customFormat="false" ht="15" hidden="false" customHeight="false" outlineLevel="0" collapsed="false">
      <c r="A19" s="6" t="s">
        <v>77</v>
      </c>
      <c r="B19" s="6" t="s">
        <v>609</v>
      </c>
      <c r="C19" s="6" t="s">
        <v>610</v>
      </c>
      <c r="D19" s="6" t="s">
        <v>85</v>
      </c>
      <c r="E19" s="8" t="n">
        <v>20</v>
      </c>
      <c r="F19" s="6" t="s">
        <v>605</v>
      </c>
      <c r="G19" s="6" t="n">
        <v>1</v>
      </c>
      <c r="H19" s="6" t="str">
        <f aca="false">IF(G19=0,"Controlado",IF(G19=1,"Em adequação","Sem controle eficaz"))</f>
        <v>Em adequação</v>
      </c>
    </row>
    <row r="20" customFormat="false" ht="15" hidden="false" customHeight="false" outlineLevel="0" collapsed="false">
      <c r="A20" s="6" t="s">
        <v>77</v>
      </c>
      <c r="B20" s="6" t="s">
        <v>611</v>
      </c>
      <c r="C20" s="6" t="s">
        <v>612</v>
      </c>
      <c r="D20" s="6" t="s">
        <v>84</v>
      </c>
      <c r="E20" s="8" t="n">
        <v>31</v>
      </c>
      <c r="F20" s="6" t="s">
        <v>613</v>
      </c>
      <c r="G20" s="6" t="n">
        <v>0</v>
      </c>
      <c r="H20" s="6" t="str">
        <f aca="false">IF(G20=0,"Controlado",IF(G20=1,"Em adequação","Sem controle eficaz"))</f>
        <v>Controlado</v>
      </c>
    </row>
    <row r="21" customFormat="false" ht="15" hidden="false" customHeight="false" outlineLevel="0" collapsed="false">
      <c r="A21" s="6" t="s">
        <v>77</v>
      </c>
      <c r="B21" s="6" t="s">
        <v>614</v>
      </c>
      <c r="C21" s="6" t="s">
        <v>615</v>
      </c>
      <c r="D21" s="6" t="s">
        <v>86</v>
      </c>
      <c r="E21" s="8" t="n">
        <v>34</v>
      </c>
      <c r="F21" s="6" t="s">
        <v>605</v>
      </c>
      <c r="G21" s="6" t="n">
        <v>0</v>
      </c>
      <c r="H21" s="6" t="str">
        <f aca="false">IF(G21=0,"Controlado",IF(G21=1,"Em adequação","Sem controle eficaz"))</f>
        <v>Controlado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56</v>
      </c>
      <c r="B1" s="3" t="s">
        <v>616</v>
      </c>
      <c r="C1" s="3" t="s">
        <v>617</v>
      </c>
      <c r="D1" s="3" t="s">
        <v>618</v>
      </c>
      <c r="E1" s="3" t="s">
        <v>619</v>
      </c>
      <c r="F1" s="3" t="s">
        <v>620</v>
      </c>
      <c r="G1" s="3" t="s">
        <v>621</v>
      </c>
    </row>
    <row r="2" customFormat="false" ht="15" hidden="false" customHeight="false" outlineLevel="0" collapsed="false">
      <c r="A2" s="6" t="s">
        <v>64</v>
      </c>
      <c r="B2" s="6" t="s">
        <v>622</v>
      </c>
      <c r="C2" s="6" t="s">
        <v>623</v>
      </c>
      <c r="D2" s="6" t="s">
        <v>624</v>
      </c>
      <c r="E2" s="8" t="n">
        <v>12</v>
      </c>
      <c r="F2" s="8" t="n">
        <v>0</v>
      </c>
      <c r="G2" s="8" t="n">
        <v>0</v>
      </c>
    </row>
    <row r="3" customFormat="false" ht="15" hidden="false" customHeight="false" outlineLevel="0" collapsed="false">
      <c r="A3" s="6" t="s">
        <v>64</v>
      </c>
      <c r="B3" s="6" t="s">
        <v>625</v>
      </c>
      <c r="C3" s="6" t="s">
        <v>626</v>
      </c>
      <c r="D3" s="6" t="s">
        <v>627</v>
      </c>
      <c r="E3" s="8" t="n">
        <v>973</v>
      </c>
      <c r="F3" s="8" t="n">
        <v>4</v>
      </c>
      <c r="G3" s="8" t="n">
        <v>1</v>
      </c>
    </row>
    <row r="4" customFormat="false" ht="15" hidden="false" customHeight="false" outlineLevel="0" collapsed="false">
      <c r="A4" s="6" t="s">
        <v>64</v>
      </c>
      <c r="B4" s="6" t="s">
        <v>628</v>
      </c>
      <c r="C4" s="6" t="s">
        <v>629</v>
      </c>
      <c r="D4" s="6" t="s">
        <v>630</v>
      </c>
      <c r="E4" s="8" t="n">
        <v>285</v>
      </c>
      <c r="F4" s="8" t="n">
        <v>2</v>
      </c>
      <c r="G4" s="8" t="n">
        <v>0</v>
      </c>
    </row>
    <row r="5" customFormat="false" ht="15" hidden="false" customHeight="false" outlineLevel="0" collapsed="false">
      <c r="A5" s="6" t="s">
        <v>69</v>
      </c>
      <c r="B5" s="6" t="s">
        <v>622</v>
      </c>
      <c r="C5" s="6" t="s">
        <v>623</v>
      </c>
      <c r="D5" s="6" t="s">
        <v>624</v>
      </c>
      <c r="E5" s="8" t="n">
        <v>19</v>
      </c>
      <c r="F5" s="8" t="n">
        <v>0</v>
      </c>
      <c r="G5" s="8" t="n">
        <v>0</v>
      </c>
    </row>
    <row r="6" customFormat="false" ht="15" hidden="false" customHeight="false" outlineLevel="0" collapsed="false">
      <c r="A6" s="6" t="s">
        <v>69</v>
      </c>
      <c r="B6" s="6" t="s">
        <v>625</v>
      </c>
      <c r="C6" s="6" t="s">
        <v>626</v>
      </c>
      <c r="D6" s="6" t="s">
        <v>627</v>
      </c>
      <c r="E6" s="8" t="n">
        <v>1401</v>
      </c>
      <c r="F6" s="8" t="n">
        <v>11</v>
      </c>
      <c r="G6" s="8" t="n">
        <v>4</v>
      </c>
    </row>
    <row r="7" customFormat="false" ht="15" hidden="false" customHeight="false" outlineLevel="0" collapsed="false">
      <c r="A7" s="6" t="s">
        <v>69</v>
      </c>
      <c r="B7" s="6" t="s">
        <v>628</v>
      </c>
      <c r="C7" s="6" t="s">
        <v>629</v>
      </c>
      <c r="D7" s="6" t="s">
        <v>630</v>
      </c>
      <c r="E7" s="8" t="n">
        <v>397</v>
      </c>
      <c r="F7" s="8" t="n">
        <v>6</v>
      </c>
      <c r="G7" s="8" t="n">
        <v>0</v>
      </c>
    </row>
    <row r="8" customFormat="false" ht="15" hidden="false" customHeight="false" outlineLevel="0" collapsed="false">
      <c r="A8" s="6" t="s">
        <v>73</v>
      </c>
      <c r="B8" s="6" t="s">
        <v>622</v>
      </c>
      <c r="C8" s="6" t="s">
        <v>623</v>
      </c>
      <c r="D8" s="6" t="s">
        <v>624</v>
      </c>
      <c r="E8" s="8" t="n">
        <v>12</v>
      </c>
      <c r="F8" s="8" t="n">
        <v>0</v>
      </c>
      <c r="G8" s="8" t="n">
        <v>0</v>
      </c>
    </row>
    <row r="9" customFormat="false" ht="15" hidden="false" customHeight="false" outlineLevel="0" collapsed="false">
      <c r="A9" s="6" t="s">
        <v>73</v>
      </c>
      <c r="B9" s="6" t="s">
        <v>625</v>
      </c>
      <c r="C9" s="6" t="s">
        <v>626</v>
      </c>
      <c r="D9" s="6" t="s">
        <v>627</v>
      </c>
      <c r="E9" s="8" t="n">
        <v>515</v>
      </c>
      <c r="F9" s="8" t="n">
        <v>5</v>
      </c>
      <c r="G9" s="8" t="n">
        <v>2</v>
      </c>
    </row>
    <row r="10" customFormat="false" ht="15" hidden="false" customHeight="false" outlineLevel="0" collapsed="false">
      <c r="A10" s="6" t="s">
        <v>73</v>
      </c>
      <c r="B10" s="6" t="s">
        <v>628</v>
      </c>
      <c r="C10" s="6" t="s">
        <v>629</v>
      </c>
      <c r="D10" s="6" t="s">
        <v>630</v>
      </c>
      <c r="E10" s="8" t="n">
        <v>140</v>
      </c>
      <c r="F10" s="8" t="n">
        <v>3</v>
      </c>
      <c r="G10" s="8" t="n">
        <v>1</v>
      </c>
    </row>
    <row r="11" customFormat="false" ht="15" hidden="false" customHeight="false" outlineLevel="0" collapsed="false">
      <c r="A11" s="6" t="s">
        <v>77</v>
      </c>
      <c r="B11" s="6" t="s">
        <v>622</v>
      </c>
      <c r="C11" s="6" t="s">
        <v>623</v>
      </c>
      <c r="D11" s="6" t="s">
        <v>624</v>
      </c>
      <c r="E11" s="8" t="n">
        <v>17</v>
      </c>
      <c r="F11" s="8" t="n">
        <v>1</v>
      </c>
      <c r="G11" s="8" t="n">
        <v>0</v>
      </c>
    </row>
    <row r="12" customFormat="false" ht="15" hidden="false" customHeight="false" outlineLevel="0" collapsed="false">
      <c r="A12" s="6" t="s">
        <v>77</v>
      </c>
      <c r="B12" s="6" t="s">
        <v>625</v>
      </c>
      <c r="C12" s="6" t="s">
        <v>626</v>
      </c>
      <c r="D12" s="6" t="s">
        <v>627</v>
      </c>
      <c r="E12" s="8" t="n">
        <v>694</v>
      </c>
      <c r="F12" s="8" t="n">
        <v>10</v>
      </c>
      <c r="G12" s="8" t="n">
        <v>3</v>
      </c>
    </row>
    <row r="13" customFormat="false" ht="15" hidden="false" customHeight="false" outlineLevel="0" collapsed="false">
      <c r="A13" s="6" t="s">
        <v>77</v>
      </c>
      <c r="B13" s="6" t="s">
        <v>628</v>
      </c>
      <c r="C13" s="6" t="s">
        <v>629</v>
      </c>
      <c r="D13" s="6" t="s">
        <v>630</v>
      </c>
      <c r="E13" s="8" t="n">
        <v>189</v>
      </c>
      <c r="F13" s="8" t="n">
        <v>5</v>
      </c>
      <c r="G13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3" t="s">
        <v>631</v>
      </c>
      <c r="B1" s="3" t="s">
        <v>632</v>
      </c>
      <c r="C1" s="3" t="s">
        <v>633</v>
      </c>
      <c r="D1" s="3" t="s">
        <v>634</v>
      </c>
      <c r="E1" s="3" t="s">
        <v>635</v>
      </c>
      <c r="F1" s="3" t="s">
        <v>636</v>
      </c>
      <c r="G1" s="3" t="s">
        <v>637</v>
      </c>
      <c r="H1" s="3" t="s">
        <v>638</v>
      </c>
    </row>
    <row r="2" customFormat="false" ht="35.05" hidden="false" customHeight="false" outlineLevel="0" collapsed="false">
      <c r="A2" s="6" t="s">
        <v>639</v>
      </c>
      <c r="B2" s="6" t="s">
        <v>640</v>
      </c>
      <c r="C2" s="13" t="n">
        <v>0.7</v>
      </c>
      <c r="D2" s="6" t="s">
        <v>641</v>
      </c>
      <c r="E2" s="6" t="s">
        <v>642</v>
      </c>
      <c r="F2" s="6" t="s">
        <v>643</v>
      </c>
      <c r="G2" s="6" t="s">
        <v>643</v>
      </c>
      <c r="H2" s="14" t="s">
        <v>644</v>
      </c>
    </row>
    <row r="3" customFormat="false" ht="23.85" hidden="false" customHeight="false" outlineLevel="0" collapsed="false">
      <c r="A3" s="6" t="s">
        <v>645</v>
      </c>
      <c r="B3" s="6" t="s">
        <v>646</v>
      </c>
      <c r="C3" s="15" t="n">
        <v>7.5</v>
      </c>
      <c r="D3" s="6" t="s">
        <v>641</v>
      </c>
      <c r="E3" s="6" t="s">
        <v>647</v>
      </c>
      <c r="F3" s="6" t="s">
        <v>648</v>
      </c>
      <c r="G3" s="6"/>
      <c r="H3" s="14" t="s">
        <v>649</v>
      </c>
    </row>
    <row r="4" customFormat="false" ht="23.85" hidden="false" customHeight="false" outlineLevel="0" collapsed="false">
      <c r="A4" s="6" t="s">
        <v>650</v>
      </c>
      <c r="B4" s="6" t="s">
        <v>651</v>
      </c>
      <c r="C4" s="13" t="n">
        <v>0.9</v>
      </c>
      <c r="D4" s="6" t="s">
        <v>641</v>
      </c>
      <c r="E4" s="6" t="s">
        <v>642</v>
      </c>
      <c r="F4" s="6" t="s">
        <v>652</v>
      </c>
      <c r="G4" s="6"/>
      <c r="H4" s="14" t="s">
        <v>653</v>
      </c>
    </row>
    <row r="5" customFormat="false" ht="23.85" hidden="false" customHeight="false" outlineLevel="0" collapsed="false">
      <c r="A5" s="6" t="s">
        <v>654</v>
      </c>
      <c r="B5" s="6" t="s">
        <v>655</v>
      </c>
      <c r="C5" s="15" t="n">
        <v>3</v>
      </c>
      <c r="D5" s="6" t="s">
        <v>656</v>
      </c>
      <c r="E5" s="6" t="s">
        <v>657</v>
      </c>
      <c r="F5" s="6" t="s">
        <v>652</v>
      </c>
      <c r="G5" s="6"/>
      <c r="H5" s="14" t="s">
        <v>658</v>
      </c>
    </row>
    <row r="6" customFormat="false" ht="23.85" hidden="false" customHeight="false" outlineLevel="0" collapsed="false">
      <c r="A6" s="6" t="s">
        <v>659</v>
      </c>
      <c r="B6" s="6" t="s">
        <v>660</v>
      </c>
      <c r="C6" s="15" t="n">
        <v>12</v>
      </c>
      <c r="D6" s="6" t="s">
        <v>641</v>
      </c>
      <c r="E6" s="6" t="s">
        <v>661</v>
      </c>
      <c r="F6" s="6" t="s">
        <v>662</v>
      </c>
      <c r="G6" s="6"/>
      <c r="H6" s="14" t="s">
        <v>663</v>
      </c>
    </row>
    <row r="7" customFormat="false" ht="23.85" hidden="false" customHeight="false" outlineLevel="0" collapsed="false">
      <c r="A7" s="6" t="s">
        <v>664</v>
      </c>
      <c r="B7" s="6" t="s">
        <v>665</v>
      </c>
      <c r="C7" s="15" t="n">
        <v>3</v>
      </c>
      <c r="D7" s="6" t="s">
        <v>656</v>
      </c>
      <c r="E7" s="6" t="s">
        <v>666</v>
      </c>
      <c r="F7" s="6" t="s">
        <v>667</v>
      </c>
      <c r="G7" s="6"/>
      <c r="H7" s="14" t="s">
        <v>668</v>
      </c>
    </row>
    <row r="8" customFormat="false" ht="23.85" hidden="false" customHeight="false" outlineLevel="0" collapsed="false">
      <c r="A8" s="6" t="s">
        <v>669</v>
      </c>
      <c r="B8" s="6" t="s">
        <v>670</v>
      </c>
      <c r="C8" s="13" t="n">
        <v>0.9</v>
      </c>
      <c r="D8" s="6" t="s">
        <v>641</v>
      </c>
      <c r="E8" s="6" t="s">
        <v>642</v>
      </c>
      <c r="F8" s="6" t="s">
        <v>667</v>
      </c>
      <c r="G8" s="6"/>
      <c r="H8" s="14" t="s">
        <v>671</v>
      </c>
    </row>
    <row r="9" customFormat="false" ht="23.85" hidden="false" customHeight="false" outlineLevel="0" collapsed="false">
      <c r="A9" s="6" t="s">
        <v>672</v>
      </c>
      <c r="B9" s="6" t="s">
        <v>673</v>
      </c>
      <c r="C9" s="13" t="n">
        <v>0.03</v>
      </c>
      <c r="D9" s="6" t="s">
        <v>656</v>
      </c>
      <c r="E9" s="6" t="s">
        <v>642</v>
      </c>
      <c r="F9" s="6" t="s">
        <v>674</v>
      </c>
      <c r="G9" s="6"/>
      <c r="H9" s="14" t="s">
        <v>675</v>
      </c>
    </row>
    <row r="10" customFormat="false" ht="23.85" hidden="false" customHeight="false" outlineLevel="0" collapsed="false">
      <c r="A10" s="6" t="s">
        <v>676</v>
      </c>
      <c r="B10" s="6" t="s">
        <v>677</v>
      </c>
      <c r="C10" s="13" t="n">
        <v>0.75</v>
      </c>
      <c r="D10" s="6" t="s">
        <v>641</v>
      </c>
      <c r="E10" s="6" t="s">
        <v>642</v>
      </c>
      <c r="F10" s="6" t="s">
        <v>643</v>
      </c>
      <c r="G10" s="6"/>
      <c r="H10" s="14" t="s">
        <v>678</v>
      </c>
    </row>
    <row r="11" customFormat="false" ht="23.85" hidden="false" customHeight="false" outlineLevel="0" collapsed="false">
      <c r="A11" s="6" t="s">
        <v>679</v>
      </c>
      <c r="B11" s="6" t="s">
        <v>680</v>
      </c>
      <c r="C11" s="13" t="n">
        <v>0.95</v>
      </c>
      <c r="D11" s="6" t="s">
        <v>641</v>
      </c>
      <c r="E11" s="6" t="s">
        <v>642</v>
      </c>
      <c r="F11" s="6" t="s">
        <v>667</v>
      </c>
      <c r="G11" s="6"/>
      <c r="H11" s="14" t="s">
        <v>681</v>
      </c>
    </row>
    <row r="12" customFormat="false" ht="23.85" hidden="false" customHeight="false" outlineLevel="0" collapsed="false">
      <c r="A12" s="6" t="s">
        <v>682</v>
      </c>
      <c r="B12" s="6" t="s">
        <v>683</v>
      </c>
      <c r="C12" s="13" t="n">
        <v>0.12</v>
      </c>
      <c r="D12" s="6" t="s">
        <v>656</v>
      </c>
      <c r="E12" s="6" t="s">
        <v>642</v>
      </c>
      <c r="F12" s="6" t="s">
        <v>684</v>
      </c>
      <c r="G12" s="6"/>
      <c r="H12" s="14" t="s">
        <v>685</v>
      </c>
    </row>
    <row r="13" customFormat="false" ht="23.85" hidden="false" customHeight="false" outlineLevel="0" collapsed="false">
      <c r="A13" s="6" t="s">
        <v>686</v>
      </c>
      <c r="B13" s="6" t="s">
        <v>687</v>
      </c>
      <c r="C13" s="13" t="n">
        <v>1</v>
      </c>
      <c r="D13" s="6" t="s">
        <v>641</v>
      </c>
      <c r="E13" s="6" t="s">
        <v>642</v>
      </c>
      <c r="F13" s="6" t="s">
        <v>652</v>
      </c>
      <c r="G13" s="6"/>
      <c r="H13" s="14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689</v>
      </c>
    </row>
    <row r="2" customFormat="false" ht="15" hidden="false" customHeight="false" outlineLevel="0" collapsed="false">
      <c r="A2" s="16" t="s">
        <v>690</v>
      </c>
    </row>
    <row r="4" customFormat="false" ht="15" hidden="false" customHeight="false" outlineLevel="0" collapsed="false">
      <c r="A4" s="7" t="s">
        <v>691</v>
      </c>
      <c r="B4" s="7" t="s">
        <v>692</v>
      </c>
      <c r="C4" s="7" t="s">
        <v>693</v>
      </c>
      <c r="D4" s="7" t="s">
        <v>694</v>
      </c>
      <c r="E4" s="7" t="s">
        <v>695</v>
      </c>
    </row>
    <row r="5" customFormat="false" ht="15" hidden="false" customHeight="false" outlineLevel="0" collapsed="false">
      <c r="A5" s="6" t="s">
        <v>696</v>
      </c>
      <c r="B5" s="6" t="s">
        <v>697</v>
      </c>
      <c r="C5" s="8" t="n">
        <f aca="false">SUM(dUnidade!F2:F5)</f>
        <v>2940</v>
      </c>
      <c r="D5" s="17" t="n">
        <v>2940</v>
      </c>
      <c r="E5" s="18" t="n">
        <f aca="false">C5-D5</f>
        <v>0</v>
      </c>
    </row>
    <row r="6" customFormat="false" ht="15" hidden="false" customHeight="false" outlineLevel="0" collapsed="false">
      <c r="A6" s="6" t="s">
        <v>698</v>
      </c>
      <c r="B6" s="6" t="s">
        <v>699</v>
      </c>
      <c r="C6" s="11" t="n">
        <f aca="false">SUM(fAcidentesMensal!C:C)/SUM(dUnidade!G2:G5)*1000000</f>
        <v>3.09214594928881</v>
      </c>
      <c r="D6" s="19" t="n">
        <v>3.09214594928881</v>
      </c>
      <c r="E6" s="18" t="n">
        <f aca="false">C6-D6</f>
        <v>0</v>
      </c>
    </row>
    <row r="7" customFormat="false" ht="15" hidden="false" customHeight="false" outlineLevel="0" collapsed="false">
      <c r="A7" s="6" t="s">
        <v>700</v>
      </c>
      <c r="B7" s="6" t="s">
        <v>701</v>
      </c>
      <c r="C7" s="12" t="n">
        <f aca="false">SUM(fIndicadoresGestao!C2:C5)/SUM(dUnidade!G2:G5)*1000000</f>
        <v>59.9532742389885</v>
      </c>
      <c r="D7" s="20" t="n">
        <v>59.9532742389885</v>
      </c>
      <c r="E7" s="18" t="n">
        <f aca="false">C7-D7</f>
        <v>0</v>
      </c>
    </row>
    <row r="8" customFormat="false" ht="15" hidden="false" customHeight="false" outlineLevel="0" collapsed="false">
      <c r="A8" s="6" t="s">
        <v>702</v>
      </c>
      <c r="B8" s="6" t="s">
        <v>703</v>
      </c>
      <c r="C8" s="10" t="n">
        <f aca="false">SUMPRODUCT(fIndicadoresGestao!E2:E5,SUMIF(dUnidade!A2:A5,fIndicadoresGestao!A2:A5,dUnidade!F2:F5))/SUM(dUnidade!F2:F5)</f>
        <v>0.868280272108844</v>
      </c>
      <c r="D8" s="13" t="n">
        <v>0.868284271195664</v>
      </c>
      <c r="E8" s="18" t="n">
        <f aca="false">C8-D8</f>
        <v>-3.99908682036099E-006</v>
      </c>
    </row>
    <row r="9" customFormat="false" ht="15" hidden="false" customHeight="false" outlineLevel="0" collapsed="false">
      <c r="A9" s="6" t="s">
        <v>680</v>
      </c>
      <c r="B9" s="6" t="s">
        <v>704</v>
      </c>
      <c r="C9" s="10" t="n">
        <f aca="false">MIN(1,(COUNTA(fBrigadistas!A:A)-1-COUNTIF(fBrigadistas!I:I,"Vencido"))/SUM(fIndicadoresGestao!L2:L5))</f>
        <v>0.975609756097561</v>
      </c>
      <c r="D9" s="13" t="n">
        <v>0.975609756097561</v>
      </c>
      <c r="E9" s="18" t="n">
        <f aca="false">C9-D9</f>
        <v>0</v>
      </c>
    </row>
    <row r="10" customFormat="false" ht="15" hidden="false" customHeight="false" outlineLevel="0" collapsed="false">
      <c r="A10" s="6" t="s">
        <v>705</v>
      </c>
      <c r="B10" s="6" t="s">
        <v>706</v>
      </c>
      <c r="C10" s="8" t="n">
        <f aca="false">COUNTIF(fEquipamentos!I:I,"Vencido")</f>
        <v>8</v>
      </c>
      <c r="D10" s="17" t="n">
        <v>8</v>
      </c>
      <c r="E10" s="18" t="n">
        <f aca="false">C10-D10</f>
        <v>0</v>
      </c>
    </row>
    <row r="11" customFormat="false" ht="15" hidden="false" customHeight="false" outlineLevel="0" collapsed="false">
      <c r="A11" s="6" t="s">
        <v>707</v>
      </c>
      <c r="B11" s="6" t="s">
        <v>708</v>
      </c>
      <c r="C11" s="8" t="n">
        <f aca="false">COUNTIF(fDocumentos!K:K,"Vencido")</f>
        <v>3</v>
      </c>
      <c r="D11" s="17" t="n">
        <v>3</v>
      </c>
      <c r="E11" s="18" t="n">
        <f aca="false">C11-D11</f>
        <v>0</v>
      </c>
    </row>
    <row r="12" customFormat="false" ht="15" hidden="false" customHeight="false" outlineLevel="0" collapsed="false">
      <c r="A12" s="6" t="s">
        <v>709</v>
      </c>
      <c r="B12" s="6" t="s">
        <v>710</v>
      </c>
      <c r="C12" s="11" t="n">
        <f aca="false">SUMPRODUCT(fPesquisaDimensao!D2:D29,SUMIF(fIndicadoresGestao!A2:A5,fPesquisaDimensao!A2:A29,fIndicadoresGestao!M2:M5))/(SUM(fIndicadoresGestao!M2:M5)*7)</f>
        <v>7.09205071067213</v>
      </c>
      <c r="D12" s="19" t="n">
        <v>7.09173379653065</v>
      </c>
      <c r="E12" s="18" t="n">
        <f aca="false">C12-D12</f>
        <v>0.000316914141479607</v>
      </c>
    </row>
    <row r="13" customFormat="false" ht="15" hidden="false" customHeight="false" outlineLevel="0" collapsed="false">
      <c r="A13" s="6" t="s">
        <v>711</v>
      </c>
      <c r="B13" s="6" t="s">
        <v>712</v>
      </c>
      <c r="C13" s="10" t="n">
        <f aca="false">(SUM(fSesmt!C:C)-SUM(fSesmt!E:E))/SUM(fSesmt!C:C)</f>
        <v>0.869565217391304</v>
      </c>
      <c r="D13" s="13" t="n">
        <v>0.869565217391304</v>
      </c>
      <c r="E13" s="18" t="n">
        <f aca="false">C13-D13</f>
        <v>0</v>
      </c>
    </row>
    <row r="14" customFormat="false" ht="15" hidden="false" customHeight="false" outlineLevel="0" collapsed="false">
      <c r="A14" s="6" t="s">
        <v>713</v>
      </c>
      <c r="B14" s="6" t="s">
        <v>714</v>
      </c>
      <c r="C14" s="10" t="n">
        <f aca="false">1-SUM(fIndicadoresGestao!O2:O5)/SUM(fIndicadoresGestao!N2:N5)</f>
        <v>0.928571428571429</v>
      </c>
      <c r="D14" s="13" t="n">
        <v>0.928571428571429</v>
      </c>
      <c r="E14" s="18" t="n">
        <f aca="false">C14-D14</f>
        <v>0</v>
      </c>
    </row>
    <row r="15" customFormat="false" ht="15" hidden="false" customHeight="false" outlineLevel="0" collapsed="false">
      <c r="A15" s="6" t="s">
        <v>715</v>
      </c>
      <c r="B15" s="6" t="s">
        <v>716</v>
      </c>
      <c r="C15" s="10" t="n">
        <f aca="false">SUM(fIndicadoresGestao!R2:R5)/SUM(fIndicadoresGestao!Q2:Q5)</f>
        <v>0.935185185185185</v>
      </c>
      <c r="D15" s="13" t="n">
        <v>0.935185185185185</v>
      </c>
      <c r="E15" s="18" t="n">
        <f aca="false">C15-D15</f>
        <v>0</v>
      </c>
    </row>
    <row r="17" customFormat="false" ht="15" hidden="false" customHeight="false" outlineLevel="0" collapsed="false">
      <c r="A17" s="3" t="s">
        <v>717</v>
      </c>
      <c r="C17" s="3" t="str">
        <f aca="false">IF(SUMPRODUCT(ABS(E5:E15))&lt;0.01,"Base confere com o painel","Verificar diferenças")</f>
        <v>Base confere com o painel</v>
      </c>
    </row>
    <row r="18" customFormat="false" ht="15" hidden="false" customHeight="false" outlineLevel="0" collapsed="false">
      <c r="A18" s="16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0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3" t="s">
        <v>719</v>
      </c>
      <c r="B1" s="3" t="s">
        <v>720</v>
      </c>
      <c r="C1" s="3" t="s">
        <v>58</v>
      </c>
      <c r="D1" s="3" t="s">
        <v>617</v>
      </c>
      <c r="E1" s="3" t="s">
        <v>721</v>
      </c>
    </row>
    <row r="2" customFormat="false" ht="15" hidden="false" customHeight="false" outlineLevel="0" collapsed="false">
      <c r="A2" s="6" t="s">
        <v>12</v>
      </c>
      <c r="B2" s="6" t="s">
        <v>56</v>
      </c>
      <c r="C2" s="6" t="s">
        <v>722</v>
      </c>
      <c r="D2" s="6" t="s">
        <v>723</v>
      </c>
      <c r="E2" s="6"/>
    </row>
    <row r="3" customFormat="false" ht="15" hidden="false" customHeight="false" outlineLevel="0" collapsed="false">
      <c r="A3" s="6" t="s">
        <v>12</v>
      </c>
      <c r="B3" s="6" t="s">
        <v>57</v>
      </c>
      <c r="C3" s="6" t="s">
        <v>724</v>
      </c>
      <c r="D3" s="6" t="s">
        <v>725</v>
      </c>
      <c r="E3" s="6"/>
    </row>
    <row r="4" customFormat="false" ht="15" hidden="false" customHeight="false" outlineLevel="0" collapsed="false">
      <c r="A4" s="6" t="s">
        <v>12</v>
      </c>
      <c r="B4" s="6" t="s">
        <v>58</v>
      </c>
      <c r="C4" s="6" t="s">
        <v>724</v>
      </c>
      <c r="D4" s="6" t="s">
        <v>726</v>
      </c>
      <c r="E4" s="6"/>
    </row>
    <row r="5" customFormat="false" ht="15" hidden="false" customHeight="false" outlineLevel="0" collapsed="false">
      <c r="A5" s="6" t="s">
        <v>12</v>
      </c>
      <c r="B5" s="6" t="s">
        <v>59</v>
      </c>
      <c r="C5" s="6" t="s">
        <v>724</v>
      </c>
      <c r="D5" s="6" t="s">
        <v>727</v>
      </c>
      <c r="E5" s="6"/>
    </row>
    <row r="6" customFormat="false" ht="15" hidden="false" customHeight="false" outlineLevel="0" collapsed="false">
      <c r="A6" s="6" t="s">
        <v>12</v>
      </c>
      <c r="B6" s="6" t="s">
        <v>60</v>
      </c>
      <c r="C6" s="6" t="s">
        <v>724</v>
      </c>
      <c r="D6" s="6" t="s">
        <v>728</v>
      </c>
      <c r="E6" s="6"/>
    </row>
    <row r="7" customFormat="false" ht="15" hidden="false" customHeight="false" outlineLevel="0" collapsed="false">
      <c r="A7" s="6" t="s">
        <v>12</v>
      </c>
      <c r="B7" s="6" t="s">
        <v>61</v>
      </c>
      <c r="C7" s="6" t="s">
        <v>729</v>
      </c>
      <c r="D7" s="6" t="s">
        <v>730</v>
      </c>
      <c r="E7" s="6"/>
    </row>
    <row r="8" customFormat="false" ht="15" hidden="false" customHeight="false" outlineLevel="0" collapsed="false">
      <c r="A8" s="6" t="s">
        <v>12</v>
      </c>
      <c r="B8" s="6" t="s">
        <v>62</v>
      </c>
      <c r="C8" s="6" t="s">
        <v>729</v>
      </c>
      <c r="D8" s="6" t="s">
        <v>731</v>
      </c>
      <c r="E8" s="6"/>
    </row>
    <row r="9" customFormat="false" ht="15" hidden="false" customHeight="false" outlineLevel="0" collapsed="false">
      <c r="A9" s="6" t="s">
        <v>12</v>
      </c>
      <c r="B9" s="6" t="s">
        <v>63</v>
      </c>
      <c r="C9" s="6" t="s">
        <v>729</v>
      </c>
      <c r="D9" s="6" t="s">
        <v>732</v>
      </c>
      <c r="E9" s="6"/>
    </row>
    <row r="10" customFormat="false" ht="15" hidden="false" customHeight="false" outlineLevel="0" collapsed="false">
      <c r="A10" s="6" t="s">
        <v>14</v>
      </c>
      <c r="B10" s="6" t="s">
        <v>81</v>
      </c>
      <c r="C10" s="6" t="s">
        <v>722</v>
      </c>
      <c r="D10" s="6" t="s">
        <v>733</v>
      </c>
      <c r="E10" s="6"/>
    </row>
    <row r="11" customFormat="false" ht="15" hidden="false" customHeight="false" outlineLevel="0" collapsed="false">
      <c r="A11" s="6" t="s">
        <v>16</v>
      </c>
      <c r="B11" s="6" t="s">
        <v>88</v>
      </c>
      <c r="C11" s="6" t="s">
        <v>734</v>
      </c>
      <c r="D11" s="6" t="s">
        <v>735</v>
      </c>
      <c r="E11" s="6"/>
    </row>
    <row r="12" customFormat="false" ht="15" hidden="false" customHeight="false" outlineLevel="0" collapsed="false">
      <c r="A12" s="6" t="s">
        <v>16</v>
      </c>
      <c r="B12" s="6" t="s">
        <v>89</v>
      </c>
      <c r="C12" s="6" t="s">
        <v>729</v>
      </c>
      <c r="D12" s="6" t="s">
        <v>736</v>
      </c>
      <c r="E12" s="6"/>
    </row>
    <row r="13" customFormat="false" ht="15" hidden="false" customHeight="false" outlineLevel="0" collapsed="false">
      <c r="A13" s="6" t="s">
        <v>16</v>
      </c>
      <c r="B13" s="6" t="s">
        <v>90</v>
      </c>
      <c r="C13" s="6" t="s">
        <v>729</v>
      </c>
      <c r="D13" s="6" t="s">
        <v>737</v>
      </c>
      <c r="E13" s="6"/>
    </row>
    <row r="14" customFormat="false" ht="15" hidden="false" customHeight="false" outlineLevel="0" collapsed="false">
      <c r="A14" s="6" t="s">
        <v>16</v>
      </c>
      <c r="B14" s="6" t="s">
        <v>91</v>
      </c>
      <c r="C14" s="6" t="s">
        <v>724</v>
      </c>
      <c r="D14" s="6" t="s">
        <v>738</v>
      </c>
      <c r="E14" s="6"/>
    </row>
    <row r="15" customFormat="false" ht="15" hidden="false" customHeight="false" outlineLevel="0" collapsed="false">
      <c r="A15" s="6" t="s">
        <v>16</v>
      </c>
      <c r="B15" s="6" t="s">
        <v>92</v>
      </c>
      <c r="C15" s="6" t="s">
        <v>724</v>
      </c>
      <c r="D15" s="6" t="s">
        <v>739</v>
      </c>
      <c r="E15" s="6"/>
    </row>
    <row r="16" customFormat="false" ht="15" hidden="false" customHeight="false" outlineLevel="0" collapsed="false">
      <c r="A16" s="6" t="s">
        <v>18</v>
      </c>
      <c r="B16" s="6" t="s">
        <v>56</v>
      </c>
      <c r="C16" s="6" t="s">
        <v>724</v>
      </c>
      <c r="D16" s="6" t="s">
        <v>723</v>
      </c>
      <c r="E16" s="6" t="s">
        <v>740</v>
      </c>
    </row>
    <row r="17" customFormat="false" ht="15" hidden="false" customHeight="false" outlineLevel="0" collapsed="false">
      <c r="A17" s="6" t="s">
        <v>18</v>
      </c>
      <c r="B17" s="6" t="s">
        <v>88</v>
      </c>
      <c r="C17" s="6" t="s">
        <v>741</v>
      </c>
      <c r="D17" s="6" t="s">
        <v>742</v>
      </c>
      <c r="E17" s="6" t="s">
        <v>743</v>
      </c>
    </row>
    <row r="18" customFormat="false" ht="15" hidden="false" customHeight="false" outlineLevel="0" collapsed="false">
      <c r="A18" s="6" t="s">
        <v>18</v>
      </c>
      <c r="B18" s="6" t="s">
        <v>108</v>
      </c>
      <c r="C18" s="6" t="s">
        <v>729</v>
      </c>
      <c r="D18" s="6" t="s">
        <v>744</v>
      </c>
      <c r="E18" s="6"/>
    </row>
    <row r="19" customFormat="false" ht="15" hidden="false" customHeight="false" outlineLevel="0" collapsed="false">
      <c r="A19" s="6" t="s">
        <v>18</v>
      </c>
      <c r="B19" s="6" t="s">
        <v>109</v>
      </c>
      <c r="C19" s="6" t="s">
        <v>729</v>
      </c>
      <c r="D19" s="6" t="s">
        <v>745</v>
      </c>
      <c r="E19" s="6"/>
    </row>
    <row r="20" customFormat="false" ht="15" hidden="false" customHeight="false" outlineLevel="0" collapsed="false">
      <c r="A20" s="6" t="s">
        <v>20</v>
      </c>
      <c r="B20" s="6" t="s">
        <v>56</v>
      </c>
      <c r="C20" s="6" t="s">
        <v>724</v>
      </c>
      <c r="D20" s="6" t="s">
        <v>723</v>
      </c>
      <c r="E20" s="6" t="s">
        <v>740</v>
      </c>
    </row>
    <row r="21" customFormat="false" ht="15" hidden="false" customHeight="false" outlineLevel="0" collapsed="false">
      <c r="A21" s="6" t="s">
        <v>20</v>
      </c>
      <c r="B21" s="6" t="s">
        <v>81</v>
      </c>
      <c r="C21" s="6" t="s">
        <v>724</v>
      </c>
      <c r="D21" s="6" t="s">
        <v>746</v>
      </c>
      <c r="E21" s="6" t="s">
        <v>747</v>
      </c>
    </row>
    <row r="22" customFormat="false" ht="15" hidden="false" customHeight="false" outlineLevel="0" collapsed="false">
      <c r="A22" s="6" t="s">
        <v>20</v>
      </c>
      <c r="B22" s="6" t="s">
        <v>110</v>
      </c>
      <c r="C22" s="6" t="s">
        <v>724</v>
      </c>
      <c r="D22" s="6" t="s">
        <v>748</v>
      </c>
      <c r="E22" s="6"/>
    </row>
    <row r="23" customFormat="false" ht="15" hidden="false" customHeight="false" outlineLevel="0" collapsed="false">
      <c r="A23" s="6" t="s">
        <v>20</v>
      </c>
      <c r="B23" s="6" t="s">
        <v>111</v>
      </c>
      <c r="C23" s="6" t="s">
        <v>729</v>
      </c>
      <c r="D23" s="6" t="s">
        <v>749</v>
      </c>
      <c r="E23" s="6"/>
    </row>
    <row r="24" customFormat="false" ht="15" hidden="false" customHeight="false" outlineLevel="0" collapsed="false">
      <c r="A24" s="6" t="s">
        <v>22</v>
      </c>
      <c r="B24" s="6" t="s">
        <v>118</v>
      </c>
      <c r="C24" s="6" t="s">
        <v>722</v>
      </c>
      <c r="D24" s="6" t="s">
        <v>750</v>
      </c>
      <c r="E24" s="6"/>
    </row>
    <row r="25" customFormat="false" ht="15" hidden="false" customHeight="false" outlineLevel="0" collapsed="false">
      <c r="A25" s="6" t="s">
        <v>22</v>
      </c>
      <c r="B25" s="6" t="s">
        <v>119</v>
      </c>
      <c r="C25" s="6" t="s">
        <v>724</v>
      </c>
      <c r="D25" s="6" t="s">
        <v>751</v>
      </c>
      <c r="E25" s="6"/>
    </row>
    <row r="26" customFormat="false" ht="15" hidden="false" customHeight="false" outlineLevel="0" collapsed="false">
      <c r="A26" s="6" t="s">
        <v>22</v>
      </c>
      <c r="B26" s="6" t="s">
        <v>56</v>
      </c>
      <c r="C26" s="6" t="s">
        <v>724</v>
      </c>
      <c r="D26" s="6" t="s">
        <v>723</v>
      </c>
      <c r="E26" s="6" t="s">
        <v>740</v>
      </c>
    </row>
    <row r="27" customFormat="false" ht="15" hidden="false" customHeight="false" outlineLevel="0" collapsed="false">
      <c r="A27" s="6" t="s">
        <v>22</v>
      </c>
      <c r="B27" s="6" t="s">
        <v>81</v>
      </c>
      <c r="C27" s="6" t="s">
        <v>724</v>
      </c>
      <c r="D27" s="6" t="s">
        <v>752</v>
      </c>
      <c r="E27" s="6" t="s">
        <v>747</v>
      </c>
    </row>
    <row r="28" customFormat="false" ht="15" hidden="false" customHeight="false" outlineLevel="0" collapsed="false">
      <c r="A28" s="6" t="s">
        <v>22</v>
      </c>
      <c r="B28" s="6" t="s">
        <v>120</v>
      </c>
      <c r="C28" s="6" t="s">
        <v>724</v>
      </c>
      <c r="D28" s="6" t="s">
        <v>753</v>
      </c>
      <c r="E28" s="6"/>
    </row>
    <row r="29" customFormat="false" ht="15" hidden="false" customHeight="false" outlineLevel="0" collapsed="false">
      <c r="A29" s="6" t="s">
        <v>22</v>
      </c>
      <c r="B29" s="6" t="s">
        <v>121</v>
      </c>
      <c r="C29" s="6" t="s">
        <v>741</v>
      </c>
      <c r="D29" s="6" t="s">
        <v>754</v>
      </c>
      <c r="E29" s="6"/>
    </row>
    <row r="30" customFormat="false" ht="15" hidden="false" customHeight="false" outlineLevel="0" collapsed="false">
      <c r="A30" s="6" t="s">
        <v>22</v>
      </c>
      <c r="B30" s="6" t="s">
        <v>122</v>
      </c>
      <c r="C30" s="6" t="s">
        <v>741</v>
      </c>
      <c r="D30" s="6" t="s">
        <v>755</v>
      </c>
      <c r="E30" s="6"/>
    </row>
    <row r="31" customFormat="false" ht="15" hidden="false" customHeight="false" outlineLevel="0" collapsed="false">
      <c r="A31" s="6" t="s">
        <v>22</v>
      </c>
      <c r="B31" s="6" t="s">
        <v>123</v>
      </c>
      <c r="C31" s="6" t="s">
        <v>756</v>
      </c>
      <c r="D31" s="6" t="s">
        <v>757</v>
      </c>
      <c r="E31" s="6"/>
    </row>
    <row r="32" customFormat="false" ht="15" hidden="false" customHeight="false" outlineLevel="0" collapsed="false">
      <c r="A32" s="6" t="s">
        <v>22</v>
      </c>
      <c r="B32" s="6" t="s">
        <v>124</v>
      </c>
      <c r="C32" s="6" t="s">
        <v>756</v>
      </c>
      <c r="D32" s="6" t="s">
        <v>758</v>
      </c>
      <c r="E32" s="6"/>
    </row>
    <row r="33" customFormat="false" ht="15" hidden="false" customHeight="false" outlineLevel="0" collapsed="false">
      <c r="A33" s="6" t="s">
        <v>24</v>
      </c>
      <c r="B33" s="6" t="s">
        <v>306</v>
      </c>
      <c r="C33" s="6" t="s">
        <v>722</v>
      </c>
      <c r="D33" s="6" t="s">
        <v>759</v>
      </c>
      <c r="E33" s="6"/>
    </row>
    <row r="34" customFormat="false" ht="15" hidden="false" customHeight="false" outlineLevel="0" collapsed="false">
      <c r="A34" s="6" t="s">
        <v>24</v>
      </c>
      <c r="B34" s="6" t="s">
        <v>307</v>
      </c>
      <c r="C34" s="6" t="s">
        <v>724</v>
      </c>
      <c r="D34" s="6" t="s">
        <v>760</v>
      </c>
      <c r="E34" s="6"/>
    </row>
    <row r="35" customFormat="false" ht="15" hidden="false" customHeight="false" outlineLevel="0" collapsed="false">
      <c r="A35" s="6" t="s">
        <v>24</v>
      </c>
      <c r="B35" s="6" t="s">
        <v>308</v>
      </c>
      <c r="C35" s="6" t="s">
        <v>724</v>
      </c>
      <c r="D35" s="6" t="s">
        <v>761</v>
      </c>
      <c r="E35" s="6"/>
    </row>
    <row r="36" customFormat="false" ht="15" hidden="false" customHeight="false" outlineLevel="0" collapsed="false">
      <c r="A36" s="6" t="s">
        <v>24</v>
      </c>
      <c r="B36" s="6" t="s">
        <v>309</v>
      </c>
      <c r="C36" s="6" t="s">
        <v>724</v>
      </c>
      <c r="D36" s="6" t="s">
        <v>762</v>
      </c>
      <c r="E36" s="6"/>
    </row>
    <row r="37" customFormat="false" ht="15" hidden="false" customHeight="false" outlineLevel="0" collapsed="false">
      <c r="A37" s="6" t="s">
        <v>24</v>
      </c>
      <c r="B37" s="6" t="s">
        <v>56</v>
      </c>
      <c r="C37" s="6" t="s">
        <v>724</v>
      </c>
      <c r="D37" s="6" t="s">
        <v>723</v>
      </c>
      <c r="E37" s="6" t="s">
        <v>740</v>
      </c>
    </row>
    <row r="38" customFormat="false" ht="15" hidden="false" customHeight="false" outlineLevel="0" collapsed="false">
      <c r="A38" s="6" t="s">
        <v>24</v>
      </c>
      <c r="B38" s="6" t="s">
        <v>310</v>
      </c>
      <c r="C38" s="6" t="s">
        <v>729</v>
      </c>
      <c r="D38" s="6" t="s">
        <v>763</v>
      </c>
      <c r="E38" s="6"/>
    </row>
    <row r="39" customFormat="false" ht="15" hidden="false" customHeight="false" outlineLevel="0" collapsed="false">
      <c r="A39" s="6" t="s">
        <v>24</v>
      </c>
      <c r="B39" s="6" t="s">
        <v>122</v>
      </c>
      <c r="C39" s="6" t="s">
        <v>741</v>
      </c>
      <c r="D39" s="6" t="s">
        <v>764</v>
      </c>
      <c r="E39" s="6"/>
    </row>
    <row r="40" customFormat="false" ht="15" hidden="false" customHeight="false" outlineLevel="0" collapsed="false">
      <c r="A40" s="6" t="s">
        <v>24</v>
      </c>
      <c r="B40" s="6" t="s">
        <v>123</v>
      </c>
      <c r="C40" s="6" t="s">
        <v>756</v>
      </c>
      <c r="D40" s="6" t="s">
        <v>765</v>
      </c>
      <c r="E40" s="6"/>
    </row>
    <row r="41" customFormat="false" ht="15" hidden="false" customHeight="false" outlineLevel="0" collapsed="false">
      <c r="A41" s="6" t="s">
        <v>24</v>
      </c>
      <c r="B41" s="6" t="s">
        <v>124</v>
      </c>
      <c r="C41" s="6" t="s">
        <v>756</v>
      </c>
      <c r="D41" s="6" t="s">
        <v>766</v>
      </c>
      <c r="E41" s="6"/>
    </row>
    <row r="42" customFormat="false" ht="15" hidden="false" customHeight="false" outlineLevel="0" collapsed="false">
      <c r="A42" s="6" t="s">
        <v>26</v>
      </c>
      <c r="B42" s="6" t="s">
        <v>306</v>
      </c>
      <c r="C42" s="6" t="s">
        <v>724</v>
      </c>
      <c r="D42" s="6" t="s">
        <v>767</v>
      </c>
      <c r="E42" s="6"/>
    </row>
    <row r="43" customFormat="false" ht="15" hidden="false" customHeight="false" outlineLevel="0" collapsed="false">
      <c r="A43" s="6" t="s">
        <v>26</v>
      </c>
      <c r="B43" s="6" t="s">
        <v>406</v>
      </c>
      <c r="C43" s="6" t="s">
        <v>724</v>
      </c>
      <c r="D43" s="6" t="s">
        <v>768</v>
      </c>
      <c r="E43" s="6"/>
    </row>
    <row r="44" customFormat="false" ht="15" hidden="false" customHeight="false" outlineLevel="0" collapsed="false">
      <c r="A44" s="6" t="s">
        <v>26</v>
      </c>
      <c r="B44" s="6" t="s">
        <v>58</v>
      </c>
      <c r="C44" s="6" t="s">
        <v>724</v>
      </c>
      <c r="D44" s="6" t="s">
        <v>769</v>
      </c>
      <c r="E44" s="6"/>
    </row>
    <row r="45" customFormat="false" ht="15" hidden="false" customHeight="false" outlineLevel="0" collapsed="false">
      <c r="A45" s="6" t="s">
        <v>26</v>
      </c>
      <c r="B45" s="6" t="s">
        <v>407</v>
      </c>
      <c r="C45" s="6" t="s">
        <v>724</v>
      </c>
      <c r="D45" s="6" t="s">
        <v>770</v>
      </c>
      <c r="E45" s="6"/>
    </row>
    <row r="46" customFormat="false" ht="15" hidden="false" customHeight="false" outlineLevel="0" collapsed="false">
      <c r="A46" s="6" t="s">
        <v>26</v>
      </c>
      <c r="B46" s="6" t="s">
        <v>56</v>
      </c>
      <c r="C46" s="6" t="s">
        <v>724</v>
      </c>
      <c r="D46" s="6" t="s">
        <v>723</v>
      </c>
      <c r="E46" s="6" t="s">
        <v>740</v>
      </c>
    </row>
    <row r="47" customFormat="false" ht="15" hidden="false" customHeight="false" outlineLevel="0" collapsed="false">
      <c r="A47" s="6" t="s">
        <v>26</v>
      </c>
      <c r="B47" s="6" t="s">
        <v>408</v>
      </c>
      <c r="C47" s="6" t="s">
        <v>724</v>
      </c>
      <c r="D47" s="6" t="s">
        <v>771</v>
      </c>
      <c r="E47" s="6"/>
    </row>
    <row r="48" customFormat="false" ht="15" hidden="false" customHeight="false" outlineLevel="0" collapsed="false">
      <c r="A48" s="6" t="s">
        <v>26</v>
      </c>
      <c r="B48" s="6" t="s">
        <v>409</v>
      </c>
      <c r="C48" s="6" t="s">
        <v>724</v>
      </c>
      <c r="D48" s="6" t="s">
        <v>772</v>
      </c>
      <c r="E48" s="6"/>
    </row>
    <row r="49" customFormat="false" ht="15" hidden="false" customHeight="false" outlineLevel="0" collapsed="false">
      <c r="A49" s="6" t="s">
        <v>26</v>
      </c>
      <c r="B49" s="6" t="s">
        <v>410</v>
      </c>
      <c r="C49" s="6" t="s">
        <v>741</v>
      </c>
      <c r="D49" s="6" t="s">
        <v>773</v>
      </c>
      <c r="E49" s="6"/>
    </row>
    <row r="50" customFormat="false" ht="15" hidden="false" customHeight="false" outlineLevel="0" collapsed="false">
      <c r="A50" s="6" t="s">
        <v>26</v>
      </c>
      <c r="B50" s="6" t="s">
        <v>411</v>
      </c>
      <c r="C50" s="6" t="s">
        <v>741</v>
      </c>
      <c r="D50" s="6" t="s">
        <v>774</v>
      </c>
      <c r="E50" s="6"/>
    </row>
    <row r="51" customFormat="false" ht="15" hidden="false" customHeight="false" outlineLevel="0" collapsed="false">
      <c r="A51" s="6" t="s">
        <v>26</v>
      </c>
      <c r="B51" s="6" t="s">
        <v>412</v>
      </c>
      <c r="C51" s="6" t="s">
        <v>756</v>
      </c>
      <c r="D51" s="6" t="s">
        <v>775</v>
      </c>
      <c r="E51" s="6"/>
    </row>
    <row r="52" customFormat="false" ht="15" hidden="false" customHeight="false" outlineLevel="0" collapsed="false">
      <c r="A52" s="6" t="s">
        <v>26</v>
      </c>
      <c r="B52" s="6" t="s">
        <v>413</v>
      </c>
      <c r="C52" s="6" t="s">
        <v>756</v>
      </c>
      <c r="D52" s="6" t="s">
        <v>776</v>
      </c>
      <c r="E52" s="6"/>
    </row>
    <row r="53" customFormat="false" ht="15" hidden="false" customHeight="false" outlineLevel="0" collapsed="false">
      <c r="A53" s="6" t="s">
        <v>26</v>
      </c>
      <c r="B53" s="6" t="s">
        <v>414</v>
      </c>
      <c r="C53" s="6" t="s">
        <v>724</v>
      </c>
      <c r="D53" s="6" t="s">
        <v>777</v>
      </c>
      <c r="E53" s="6"/>
    </row>
    <row r="54" customFormat="false" ht="15" hidden="false" customHeight="false" outlineLevel="0" collapsed="false">
      <c r="A54" s="6" t="s">
        <v>26</v>
      </c>
      <c r="B54" s="6" t="s">
        <v>415</v>
      </c>
      <c r="C54" s="6" t="s">
        <v>642</v>
      </c>
      <c r="D54" s="6" t="s">
        <v>778</v>
      </c>
      <c r="E54" s="6"/>
    </row>
    <row r="55" customFormat="false" ht="15" hidden="false" customHeight="false" outlineLevel="0" collapsed="false">
      <c r="A55" s="6" t="s">
        <v>28</v>
      </c>
      <c r="B55" s="6" t="s">
        <v>56</v>
      </c>
      <c r="C55" s="6" t="s">
        <v>724</v>
      </c>
      <c r="D55" s="6" t="s">
        <v>723</v>
      </c>
      <c r="E55" s="6" t="s">
        <v>740</v>
      </c>
    </row>
    <row r="56" customFormat="false" ht="15" hidden="false" customHeight="false" outlineLevel="0" collapsed="false">
      <c r="A56" s="6" t="s">
        <v>28</v>
      </c>
      <c r="B56" s="6" t="s">
        <v>470</v>
      </c>
      <c r="C56" s="6" t="s">
        <v>724</v>
      </c>
      <c r="D56" s="6" t="s">
        <v>779</v>
      </c>
      <c r="E56" s="6"/>
    </row>
    <row r="57" customFormat="false" ht="15" hidden="false" customHeight="false" outlineLevel="0" collapsed="false">
      <c r="A57" s="6" t="s">
        <v>28</v>
      </c>
      <c r="B57" s="6" t="s">
        <v>471</v>
      </c>
      <c r="C57" s="6" t="s">
        <v>780</v>
      </c>
      <c r="D57" s="6" t="s">
        <v>781</v>
      </c>
      <c r="E57" s="6"/>
    </row>
    <row r="58" customFormat="false" ht="15" hidden="false" customHeight="false" outlineLevel="0" collapsed="false">
      <c r="A58" s="6" t="s">
        <v>28</v>
      </c>
      <c r="B58" s="6" t="s">
        <v>472</v>
      </c>
      <c r="C58" s="6" t="s">
        <v>780</v>
      </c>
      <c r="D58" s="6" t="s">
        <v>782</v>
      </c>
      <c r="E58" s="6"/>
    </row>
    <row r="59" customFormat="false" ht="15" hidden="false" customHeight="false" outlineLevel="0" collapsed="false">
      <c r="A59" s="6" t="s">
        <v>28</v>
      </c>
      <c r="B59" s="6" t="s">
        <v>473</v>
      </c>
      <c r="C59" s="6" t="s">
        <v>756</v>
      </c>
      <c r="D59" s="6" t="s">
        <v>783</v>
      </c>
      <c r="E59" s="6"/>
    </row>
    <row r="60" customFormat="false" ht="15" hidden="false" customHeight="false" outlineLevel="0" collapsed="false">
      <c r="A60" s="6" t="s">
        <v>30</v>
      </c>
      <c r="B60" s="6" t="s">
        <v>56</v>
      </c>
      <c r="C60" s="6" t="s">
        <v>724</v>
      </c>
      <c r="D60" s="6" t="s">
        <v>723</v>
      </c>
      <c r="E60" s="6" t="s">
        <v>740</v>
      </c>
    </row>
    <row r="61" customFormat="false" ht="15" hidden="false" customHeight="false" outlineLevel="0" collapsed="false">
      <c r="A61" s="6" t="s">
        <v>30</v>
      </c>
      <c r="B61" s="6" t="s">
        <v>81</v>
      </c>
      <c r="C61" s="6" t="s">
        <v>724</v>
      </c>
      <c r="D61" s="6" t="s">
        <v>746</v>
      </c>
      <c r="E61" s="6" t="s">
        <v>747</v>
      </c>
    </row>
    <row r="62" customFormat="false" ht="15" hidden="false" customHeight="false" outlineLevel="0" collapsed="false">
      <c r="A62" s="6" t="s">
        <v>30</v>
      </c>
      <c r="B62" s="6" t="s">
        <v>481</v>
      </c>
      <c r="C62" s="6" t="s">
        <v>780</v>
      </c>
      <c r="D62" s="6" t="s">
        <v>784</v>
      </c>
      <c r="E62" s="6"/>
    </row>
    <row r="63" customFormat="false" ht="15" hidden="false" customHeight="false" outlineLevel="0" collapsed="false">
      <c r="A63" s="6" t="s">
        <v>32</v>
      </c>
      <c r="B63" s="6" t="s">
        <v>56</v>
      </c>
      <c r="C63" s="6" t="s">
        <v>724</v>
      </c>
      <c r="D63" s="6" t="s">
        <v>723</v>
      </c>
      <c r="E63" s="6" t="s">
        <v>740</v>
      </c>
    </row>
    <row r="64" customFormat="false" ht="15" hidden="false" customHeight="false" outlineLevel="0" collapsed="false">
      <c r="A64" s="6" t="s">
        <v>32</v>
      </c>
      <c r="B64" s="6" t="s">
        <v>482</v>
      </c>
      <c r="C64" s="6" t="s">
        <v>729</v>
      </c>
      <c r="D64" s="6" t="s">
        <v>785</v>
      </c>
      <c r="E64" s="6"/>
    </row>
    <row r="65" customFormat="false" ht="15" hidden="false" customHeight="false" outlineLevel="0" collapsed="false">
      <c r="A65" s="6" t="s">
        <v>32</v>
      </c>
      <c r="B65" s="6" t="s">
        <v>483</v>
      </c>
      <c r="C65" s="6" t="s">
        <v>724</v>
      </c>
      <c r="D65" s="6" t="s">
        <v>786</v>
      </c>
      <c r="E65" s="6"/>
    </row>
    <row r="66" customFormat="false" ht="15" hidden="false" customHeight="false" outlineLevel="0" collapsed="false">
      <c r="A66" s="6" t="s">
        <v>32</v>
      </c>
      <c r="B66" s="6" t="s">
        <v>484</v>
      </c>
      <c r="C66" s="6" t="s">
        <v>780</v>
      </c>
      <c r="D66" s="6" t="s">
        <v>787</v>
      </c>
      <c r="E66" s="6"/>
    </row>
    <row r="67" customFormat="false" ht="15" hidden="false" customHeight="false" outlineLevel="0" collapsed="false">
      <c r="A67" s="6" t="s">
        <v>34</v>
      </c>
      <c r="B67" s="6" t="s">
        <v>56</v>
      </c>
      <c r="C67" s="6" t="s">
        <v>724</v>
      </c>
      <c r="D67" s="6" t="s">
        <v>723</v>
      </c>
      <c r="E67" s="6" t="s">
        <v>740</v>
      </c>
    </row>
    <row r="68" customFormat="false" ht="15" hidden="false" customHeight="false" outlineLevel="0" collapsed="false">
      <c r="A68" s="6" t="s">
        <v>34</v>
      </c>
      <c r="B68" s="6" t="s">
        <v>486</v>
      </c>
      <c r="C68" s="6" t="s">
        <v>741</v>
      </c>
      <c r="D68" s="6" t="s">
        <v>788</v>
      </c>
      <c r="E68" s="6"/>
    </row>
    <row r="69" customFormat="false" ht="15" hidden="false" customHeight="false" outlineLevel="0" collapsed="false">
      <c r="A69" s="6" t="s">
        <v>34</v>
      </c>
      <c r="B69" s="6" t="s">
        <v>487</v>
      </c>
      <c r="C69" s="6" t="s">
        <v>729</v>
      </c>
      <c r="D69" s="6" t="s">
        <v>789</v>
      </c>
      <c r="E69" s="6"/>
    </row>
    <row r="70" customFormat="false" ht="15" hidden="false" customHeight="false" outlineLevel="0" collapsed="false">
      <c r="A70" s="6" t="s">
        <v>34</v>
      </c>
      <c r="B70" s="6" t="s">
        <v>488</v>
      </c>
      <c r="C70" s="6" t="s">
        <v>729</v>
      </c>
      <c r="D70" s="6" t="s">
        <v>790</v>
      </c>
      <c r="E70" s="6"/>
    </row>
    <row r="71" customFormat="false" ht="15" hidden="false" customHeight="false" outlineLevel="0" collapsed="false">
      <c r="A71" s="6" t="s">
        <v>34</v>
      </c>
      <c r="B71" s="6" t="s">
        <v>489</v>
      </c>
      <c r="C71" s="6" t="s">
        <v>642</v>
      </c>
      <c r="D71" s="6" t="s">
        <v>791</v>
      </c>
      <c r="E71" s="6"/>
    </row>
    <row r="72" customFormat="false" ht="15" hidden="false" customHeight="false" outlineLevel="0" collapsed="false">
      <c r="A72" s="6" t="s">
        <v>34</v>
      </c>
      <c r="B72" s="6" t="s">
        <v>490</v>
      </c>
      <c r="C72" s="6" t="s">
        <v>642</v>
      </c>
      <c r="D72" s="6" t="s">
        <v>792</v>
      </c>
      <c r="E72" s="6"/>
    </row>
    <row r="73" customFormat="false" ht="15" hidden="false" customHeight="false" outlineLevel="0" collapsed="false">
      <c r="A73" s="6" t="s">
        <v>34</v>
      </c>
      <c r="B73" s="6" t="s">
        <v>491</v>
      </c>
      <c r="C73" s="6" t="s">
        <v>780</v>
      </c>
      <c r="D73" s="6" t="s">
        <v>793</v>
      </c>
      <c r="E73" s="6"/>
    </row>
    <row r="74" customFormat="false" ht="15" hidden="false" customHeight="false" outlineLevel="0" collapsed="false">
      <c r="A74" s="6" t="s">
        <v>34</v>
      </c>
      <c r="B74" s="6" t="s">
        <v>492</v>
      </c>
      <c r="C74" s="6" t="s">
        <v>729</v>
      </c>
      <c r="D74" s="6" t="s">
        <v>665</v>
      </c>
      <c r="E74" s="6"/>
    </row>
    <row r="75" customFormat="false" ht="15" hidden="false" customHeight="false" outlineLevel="0" collapsed="false">
      <c r="A75" s="6" t="s">
        <v>34</v>
      </c>
      <c r="B75" s="6" t="s">
        <v>493</v>
      </c>
      <c r="C75" s="6" t="s">
        <v>642</v>
      </c>
      <c r="D75" s="6" t="s">
        <v>670</v>
      </c>
      <c r="E75" s="6"/>
    </row>
    <row r="76" customFormat="false" ht="15" hidden="false" customHeight="false" outlineLevel="0" collapsed="false">
      <c r="A76" s="6" t="s">
        <v>34</v>
      </c>
      <c r="B76" s="6" t="s">
        <v>494</v>
      </c>
      <c r="C76" s="6" t="s">
        <v>642</v>
      </c>
      <c r="D76" s="6" t="s">
        <v>673</v>
      </c>
      <c r="E76" s="6"/>
    </row>
    <row r="77" customFormat="false" ht="15" hidden="false" customHeight="false" outlineLevel="0" collapsed="false">
      <c r="A77" s="6" t="s">
        <v>34</v>
      </c>
      <c r="B77" s="6" t="s">
        <v>495</v>
      </c>
      <c r="C77" s="6" t="s">
        <v>642</v>
      </c>
      <c r="D77" s="6" t="s">
        <v>794</v>
      </c>
      <c r="E77" s="6"/>
    </row>
    <row r="78" customFormat="false" ht="15" hidden="false" customHeight="false" outlineLevel="0" collapsed="false">
      <c r="A78" s="6" t="s">
        <v>34</v>
      </c>
      <c r="B78" s="6" t="s">
        <v>496</v>
      </c>
      <c r="C78" s="6" t="s">
        <v>729</v>
      </c>
      <c r="D78" s="6" t="s">
        <v>795</v>
      </c>
      <c r="E78" s="6"/>
    </row>
    <row r="79" customFormat="false" ht="15" hidden="false" customHeight="false" outlineLevel="0" collapsed="false">
      <c r="A79" s="6" t="s">
        <v>34</v>
      </c>
      <c r="B79" s="6" t="s">
        <v>497</v>
      </c>
      <c r="C79" s="6" t="s">
        <v>729</v>
      </c>
      <c r="D79" s="6" t="s">
        <v>796</v>
      </c>
      <c r="E79" s="6"/>
    </row>
    <row r="80" customFormat="false" ht="15" hidden="false" customHeight="false" outlineLevel="0" collapsed="false">
      <c r="A80" s="6" t="s">
        <v>34</v>
      </c>
      <c r="B80" s="6" t="s">
        <v>498</v>
      </c>
      <c r="C80" s="6" t="s">
        <v>729</v>
      </c>
      <c r="D80" s="6" t="s">
        <v>797</v>
      </c>
      <c r="E80" s="6"/>
    </row>
    <row r="81" customFormat="false" ht="15" hidden="false" customHeight="false" outlineLevel="0" collapsed="false">
      <c r="A81" s="6" t="s">
        <v>34</v>
      </c>
      <c r="B81" s="6" t="s">
        <v>499</v>
      </c>
      <c r="C81" s="6" t="s">
        <v>729</v>
      </c>
      <c r="D81" s="6" t="s">
        <v>798</v>
      </c>
      <c r="E81" s="6"/>
    </row>
    <row r="82" customFormat="false" ht="15" hidden="false" customHeight="false" outlineLevel="0" collapsed="false">
      <c r="A82" s="6" t="s">
        <v>34</v>
      </c>
      <c r="B82" s="6" t="s">
        <v>500</v>
      </c>
      <c r="C82" s="6" t="s">
        <v>729</v>
      </c>
      <c r="D82" s="6" t="s">
        <v>799</v>
      </c>
      <c r="E82" s="6"/>
    </row>
    <row r="83" customFormat="false" ht="15" hidden="false" customHeight="false" outlineLevel="0" collapsed="false">
      <c r="A83" s="6" t="s">
        <v>34</v>
      </c>
      <c r="B83" s="6" t="s">
        <v>501</v>
      </c>
      <c r="C83" s="6" t="s">
        <v>729</v>
      </c>
      <c r="D83" s="6" t="s">
        <v>800</v>
      </c>
      <c r="E83" s="6"/>
    </row>
    <row r="84" customFormat="false" ht="15" hidden="false" customHeight="false" outlineLevel="0" collapsed="false">
      <c r="A84" s="6" t="s">
        <v>34</v>
      </c>
      <c r="B84" s="6" t="s">
        <v>502</v>
      </c>
      <c r="C84" s="6" t="s">
        <v>729</v>
      </c>
      <c r="D84" s="6" t="s">
        <v>801</v>
      </c>
      <c r="E84" s="6"/>
    </row>
    <row r="85" customFormat="false" ht="15" hidden="false" customHeight="false" outlineLevel="0" collapsed="false">
      <c r="A85" s="6" t="s">
        <v>36</v>
      </c>
      <c r="B85" s="6" t="s">
        <v>56</v>
      </c>
      <c r="C85" s="6" t="s">
        <v>724</v>
      </c>
      <c r="D85" s="6" t="s">
        <v>723</v>
      </c>
      <c r="E85" s="6" t="s">
        <v>740</v>
      </c>
    </row>
    <row r="86" customFormat="false" ht="15" hidden="false" customHeight="false" outlineLevel="0" collapsed="false">
      <c r="A86" s="6" t="s">
        <v>36</v>
      </c>
      <c r="B86" s="6" t="s">
        <v>503</v>
      </c>
      <c r="C86" s="6" t="s">
        <v>724</v>
      </c>
      <c r="D86" s="6" t="s">
        <v>802</v>
      </c>
      <c r="E86" s="6"/>
    </row>
    <row r="87" customFormat="false" ht="15" hidden="false" customHeight="false" outlineLevel="0" collapsed="false">
      <c r="A87" s="6" t="s">
        <v>36</v>
      </c>
      <c r="B87" s="6" t="s">
        <v>504</v>
      </c>
      <c r="C87" s="6" t="s">
        <v>729</v>
      </c>
      <c r="D87" s="6" t="s">
        <v>803</v>
      </c>
      <c r="E87" s="6"/>
    </row>
    <row r="88" customFormat="false" ht="15" hidden="false" customHeight="false" outlineLevel="0" collapsed="false">
      <c r="A88" s="6" t="s">
        <v>36</v>
      </c>
      <c r="B88" s="6" t="s">
        <v>505</v>
      </c>
      <c r="C88" s="6" t="s">
        <v>729</v>
      </c>
      <c r="D88" s="6" t="s">
        <v>804</v>
      </c>
      <c r="E88" s="6"/>
    </row>
    <row r="89" customFormat="false" ht="15" hidden="false" customHeight="false" outlineLevel="0" collapsed="false">
      <c r="A89" s="6" t="s">
        <v>36</v>
      </c>
      <c r="B89" s="6" t="s">
        <v>506</v>
      </c>
      <c r="C89" s="6" t="s">
        <v>756</v>
      </c>
      <c r="D89" s="6" t="s">
        <v>805</v>
      </c>
      <c r="E89" s="6"/>
    </row>
    <row r="90" customFormat="false" ht="15" hidden="false" customHeight="false" outlineLevel="0" collapsed="false">
      <c r="A90" s="6" t="s">
        <v>38</v>
      </c>
      <c r="B90" s="6" t="s">
        <v>56</v>
      </c>
      <c r="C90" s="6" t="s">
        <v>724</v>
      </c>
      <c r="D90" s="6" t="s">
        <v>723</v>
      </c>
      <c r="E90" s="6" t="s">
        <v>740</v>
      </c>
    </row>
    <row r="91" customFormat="false" ht="15" hidden="false" customHeight="false" outlineLevel="0" collapsed="false">
      <c r="A91" s="6" t="s">
        <v>38</v>
      </c>
      <c r="B91" s="6" t="s">
        <v>511</v>
      </c>
      <c r="C91" s="6" t="s">
        <v>724</v>
      </c>
      <c r="D91" s="6" t="s">
        <v>806</v>
      </c>
      <c r="E91" s="6"/>
    </row>
    <row r="92" customFormat="false" ht="15" hidden="false" customHeight="false" outlineLevel="0" collapsed="false">
      <c r="A92" s="6" t="s">
        <v>38</v>
      </c>
      <c r="B92" s="6" t="s">
        <v>512</v>
      </c>
      <c r="C92" s="6" t="s">
        <v>729</v>
      </c>
      <c r="D92" s="6" t="s">
        <v>807</v>
      </c>
      <c r="E92" s="6"/>
    </row>
    <row r="93" customFormat="false" ht="15" hidden="false" customHeight="false" outlineLevel="0" collapsed="false">
      <c r="A93" s="6" t="s">
        <v>38</v>
      </c>
      <c r="B93" s="6" t="s">
        <v>513</v>
      </c>
      <c r="C93" s="6" t="s">
        <v>729</v>
      </c>
      <c r="D93" s="6" t="s">
        <v>808</v>
      </c>
      <c r="E93" s="6"/>
    </row>
    <row r="94" customFormat="false" ht="15" hidden="false" customHeight="false" outlineLevel="0" collapsed="false">
      <c r="A94" s="6" t="s">
        <v>38</v>
      </c>
      <c r="B94" s="6" t="s">
        <v>514</v>
      </c>
      <c r="C94" s="6" t="s">
        <v>756</v>
      </c>
      <c r="D94" s="6" t="s">
        <v>809</v>
      </c>
      <c r="E94" s="6"/>
    </row>
    <row r="95" customFormat="false" ht="15" hidden="false" customHeight="false" outlineLevel="0" collapsed="false">
      <c r="A95" s="6" t="s">
        <v>40</v>
      </c>
      <c r="B95" s="6" t="s">
        <v>119</v>
      </c>
      <c r="C95" s="6" t="s">
        <v>724</v>
      </c>
      <c r="D95" s="6" t="s">
        <v>810</v>
      </c>
      <c r="E95" s="6"/>
    </row>
    <row r="96" customFormat="false" ht="15" hidden="false" customHeight="false" outlineLevel="0" collapsed="false">
      <c r="A96" s="6" t="s">
        <v>40</v>
      </c>
      <c r="B96" s="6" t="s">
        <v>56</v>
      </c>
      <c r="C96" s="6" t="s">
        <v>724</v>
      </c>
      <c r="D96" s="6" t="s">
        <v>723</v>
      </c>
      <c r="E96" s="6" t="s">
        <v>740</v>
      </c>
    </row>
    <row r="97" customFormat="false" ht="15" hidden="false" customHeight="false" outlineLevel="0" collapsed="false">
      <c r="A97" s="6" t="s">
        <v>40</v>
      </c>
      <c r="B97" s="6" t="s">
        <v>81</v>
      </c>
      <c r="C97" s="6" t="s">
        <v>724</v>
      </c>
      <c r="D97" s="6" t="s">
        <v>746</v>
      </c>
      <c r="E97" s="6" t="s">
        <v>747</v>
      </c>
    </row>
    <row r="98" customFormat="false" ht="15" hidden="false" customHeight="false" outlineLevel="0" collapsed="false">
      <c r="A98" s="6" t="s">
        <v>40</v>
      </c>
      <c r="B98" s="6" t="s">
        <v>503</v>
      </c>
      <c r="C98" s="6" t="s">
        <v>724</v>
      </c>
      <c r="D98" s="6" t="s">
        <v>811</v>
      </c>
      <c r="E98" s="6"/>
    </row>
    <row r="99" customFormat="false" ht="15" hidden="false" customHeight="false" outlineLevel="0" collapsed="false">
      <c r="A99" s="6" t="s">
        <v>40</v>
      </c>
      <c r="B99" s="6" t="s">
        <v>520</v>
      </c>
      <c r="C99" s="6" t="s">
        <v>741</v>
      </c>
      <c r="D99" s="6" t="s">
        <v>812</v>
      </c>
      <c r="E99" s="6"/>
    </row>
    <row r="100" customFormat="false" ht="15" hidden="false" customHeight="false" outlineLevel="0" collapsed="false">
      <c r="A100" s="6" t="s">
        <v>40</v>
      </c>
      <c r="B100" s="6" t="s">
        <v>521</v>
      </c>
      <c r="C100" s="6" t="s">
        <v>741</v>
      </c>
      <c r="D100" s="6" t="s">
        <v>813</v>
      </c>
      <c r="E100" s="6"/>
    </row>
    <row r="101" customFormat="false" ht="15" hidden="false" customHeight="false" outlineLevel="0" collapsed="false">
      <c r="A101" s="6" t="s">
        <v>40</v>
      </c>
      <c r="B101" s="6" t="s">
        <v>123</v>
      </c>
      <c r="C101" s="6" t="s">
        <v>756</v>
      </c>
      <c r="D101" s="6" t="s">
        <v>814</v>
      </c>
      <c r="E101" s="6"/>
    </row>
    <row r="102" customFormat="false" ht="15" hidden="false" customHeight="false" outlineLevel="0" collapsed="false">
      <c r="A102" s="6" t="s">
        <v>40</v>
      </c>
      <c r="B102" s="6" t="s">
        <v>124</v>
      </c>
      <c r="C102" s="6" t="s">
        <v>756</v>
      </c>
      <c r="D102" s="6" t="s">
        <v>815</v>
      </c>
      <c r="E102" s="6"/>
    </row>
    <row r="103" customFormat="false" ht="15" hidden="false" customHeight="false" outlineLevel="0" collapsed="false">
      <c r="A103" s="6" t="s">
        <v>42</v>
      </c>
      <c r="B103" s="6" t="s">
        <v>56</v>
      </c>
      <c r="C103" s="6" t="s">
        <v>724</v>
      </c>
      <c r="D103" s="6" t="s">
        <v>723</v>
      </c>
      <c r="E103" s="6" t="s">
        <v>740</v>
      </c>
    </row>
    <row r="104" customFormat="false" ht="15" hidden="false" customHeight="false" outlineLevel="0" collapsed="false">
      <c r="A104" s="6" t="s">
        <v>42</v>
      </c>
      <c r="B104" s="6" t="s">
        <v>578</v>
      </c>
      <c r="C104" s="6" t="s">
        <v>724</v>
      </c>
      <c r="D104" s="6" t="s">
        <v>816</v>
      </c>
      <c r="E104" s="6"/>
    </row>
    <row r="105" customFormat="false" ht="15" hidden="false" customHeight="false" outlineLevel="0" collapsed="false">
      <c r="A105" s="6" t="s">
        <v>42</v>
      </c>
      <c r="B105" s="6" t="s">
        <v>579</v>
      </c>
      <c r="C105" s="6" t="s">
        <v>729</v>
      </c>
      <c r="D105" s="6" t="s">
        <v>817</v>
      </c>
      <c r="E105" s="6"/>
    </row>
    <row r="106" customFormat="false" ht="15" hidden="false" customHeight="false" outlineLevel="0" collapsed="false">
      <c r="A106" s="6" t="s">
        <v>42</v>
      </c>
      <c r="B106" s="6" t="s">
        <v>580</v>
      </c>
      <c r="C106" s="6" t="s">
        <v>729</v>
      </c>
      <c r="D106" s="6" t="s">
        <v>818</v>
      </c>
      <c r="E106" s="6"/>
    </row>
    <row r="107" customFormat="false" ht="15" hidden="false" customHeight="false" outlineLevel="0" collapsed="false">
      <c r="A107" s="6" t="s">
        <v>42</v>
      </c>
      <c r="B107" s="6" t="s">
        <v>581</v>
      </c>
      <c r="C107" s="6" t="s">
        <v>756</v>
      </c>
      <c r="D107" s="6" t="s">
        <v>819</v>
      </c>
      <c r="E107" s="6"/>
    </row>
    <row r="108" customFormat="false" ht="15" hidden="false" customHeight="false" outlineLevel="0" collapsed="false">
      <c r="A108" s="6" t="s">
        <v>44</v>
      </c>
      <c r="B108" s="6" t="s">
        <v>56</v>
      </c>
      <c r="C108" s="6" t="s">
        <v>724</v>
      </c>
      <c r="D108" s="6" t="s">
        <v>723</v>
      </c>
      <c r="E108" s="6" t="s">
        <v>740</v>
      </c>
    </row>
    <row r="109" customFormat="false" ht="15" hidden="false" customHeight="false" outlineLevel="0" collapsed="false">
      <c r="A109" s="6" t="s">
        <v>44</v>
      </c>
      <c r="B109" s="6" t="s">
        <v>588</v>
      </c>
      <c r="C109" s="6" t="s">
        <v>724</v>
      </c>
      <c r="D109" s="6" t="s">
        <v>820</v>
      </c>
      <c r="E109" s="6"/>
    </row>
    <row r="110" customFormat="false" ht="15" hidden="false" customHeight="false" outlineLevel="0" collapsed="false">
      <c r="A110" s="6" t="s">
        <v>44</v>
      </c>
      <c r="B110" s="6" t="s">
        <v>589</v>
      </c>
      <c r="C110" s="6" t="s">
        <v>729</v>
      </c>
      <c r="D110" s="6" t="s">
        <v>821</v>
      </c>
      <c r="E110" s="6"/>
    </row>
    <row r="111" customFormat="false" ht="15" hidden="false" customHeight="false" outlineLevel="0" collapsed="false">
      <c r="A111" s="6" t="s">
        <v>46</v>
      </c>
      <c r="B111" s="6" t="s">
        <v>56</v>
      </c>
      <c r="C111" s="6" t="s">
        <v>724</v>
      </c>
      <c r="D111" s="6" t="s">
        <v>723</v>
      </c>
      <c r="E111" s="6" t="s">
        <v>740</v>
      </c>
    </row>
    <row r="112" customFormat="false" ht="15" hidden="false" customHeight="false" outlineLevel="0" collapsed="false">
      <c r="A112" s="6" t="s">
        <v>46</v>
      </c>
      <c r="B112" s="6" t="s">
        <v>595</v>
      </c>
      <c r="C112" s="6" t="s">
        <v>724</v>
      </c>
      <c r="D112" s="6" t="s">
        <v>822</v>
      </c>
      <c r="E112" s="6"/>
    </row>
    <row r="113" customFormat="false" ht="15" hidden="false" customHeight="false" outlineLevel="0" collapsed="false">
      <c r="A113" s="6" t="s">
        <v>46</v>
      </c>
      <c r="B113" s="6" t="s">
        <v>596</v>
      </c>
      <c r="C113" s="6" t="s">
        <v>724</v>
      </c>
      <c r="D113" s="6" t="s">
        <v>823</v>
      </c>
      <c r="E113" s="6"/>
    </row>
    <row r="114" customFormat="false" ht="15" hidden="false" customHeight="false" outlineLevel="0" collapsed="false">
      <c r="A114" s="6" t="s">
        <v>46</v>
      </c>
      <c r="B114" s="6" t="s">
        <v>597</v>
      </c>
      <c r="C114" s="6" t="s">
        <v>724</v>
      </c>
      <c r="D114" s="6" t="s">
        <v>824</v>
      </c>
      <c r="E114" s="6"/>
    </row>
    <row r="115" customFormat="false" ht="15" hidden="false" customHeight="false" outlineLevel="0" collapsed="false">
      <c r="A115" s="6" t="s">
        <v>46</v>
      </c>
      <c r="B115" s="6" t="s">
        <v>598</v>
      </c>
      <c r="C115" s="6" t="s">
        <v>729</v>
      </c>
      <c r="D115" s="6" t="s">
        <v>825</v>
      </c>
      <c r="E115" s="6"/>
    </row>
    <row r="116" customFormat="false" ht="15" hidden="false" customHeight="false" outlineLevel="0" collapsed="false">
      <c r="A116" s="6" t="s">
        <v>46</v>
      </c>
      <c r="B116" s="6" t="s">
        <v>599</v>
      </c>
      <c r="C116" s="6" t="s">
        <v>724</v>
      </c>
      <c r="D116" s="6" t="s">
        <v>826</v>
      </c>
      <c r="E116" s="6"/>
    </row>
    <row r="117" customFormat="false" ht="15" hidden="false" customHeight="false" outlineLevel="0" collapsed="false">
      <c r="A117" s="6" t="s">
        <v>46</v>
      </c>
      <c r="B117" s="6" t="s">
        <v>600</v>
      </c>
      <c r="C117" s="6" t="s">
        <v>729</v>
      </c>
      <c r="D117" s="6" t="s">
        <v>827</v>
      </c>
      <c r="E117" s="6"/>
    </row>
    <row r="118" customFormat="false" ht="15" hidden="false" customHeight="false" outlineLevel="0" collapsed="false">
      <c r="A118" s="6" t="s">
        <v>46</v>
      </c>
      <c r="B118" s="6" t="s">
        <v>601</v>
      </c>
      <c r="C118" s="6" t="s">
        <v>756</v>
      </c>
      <c r="D118" s="6" t="s">
        <v>828</v>
      </c>
      <c r="E118" s="6"/>
    </row>
    <row r="119" customFormat="false" ht="15" hidden="false" customHeight="false" outlineLevel="0" collapsed="false">
      <c r="A119" s="6" t="s">
        <v>48</v>
      </c>
      <c r="B119" s="6" t="s">
        <v>56</v>
      </c>
      <c r="C119" s="6" t="s">
        <v>724</v>
      </c>
      <c r="D119" s="6" t="s">
        <v>723</v>
      </c>
      <c r="E119" s="6" t="s">
        <v>740</v>
      </c>
    </row>
    <row r="120" customFormat="false" ht="15" hidden="false" customHeight="false" outlineLevel="0" collapsed="false">
      <c r="A120" s="6" t="s">
        <v>48</v>
      </c>
      <c r="B120" s="6" t="s">
        <v>616</v>
      </c>
      <c r="C120" s="6" t="s">
        <v>724</v>
      </c>
      <c r="D120" s="6" t="s">
        <v>829</v>
      </c>
      <c r="E120" s="6"/>
    </row>
    <row r="121" customFormat="false" ht="15" hidden="false" customHeight="false" outlineLevel="0" collapsed="false">
      <c r="A121" s="6" t="s">
        <v>48</v>
      </c>
      <c r="B121" s="6" t="s">
        <v>617</v>
      </c>
      <c r="C121" s="6" t="s">
        <v>724</v>
      </c>
      <c r="D121" s="6" t="s">
        <v>830</v>
      </c>
      <c r="E121" s="6"/>
    </row>
    <row r="122" customFormat="false" ht="15" hidden="false" customHeight="false" outlineLevel="0" collapsed="false">
      <c r="A122" s="6" t="s">
        <v>48</v>
      </c>
      <c r="B122" s="6" t="s">
        <v>618</v>
      </c>
      <c r="C122" s="6" t="s">
        <v>724</v>
      </c>
      <c r="D122" s="6" t="s">
        <v>831</v>
      </c>
      <c r="E122" s="6"/>
    </row>
    <row r="123" customFormat="false" ht="15" hidden="false" customHeight="false" outlineLevel="0" collapsed="false">
      <c r="A123" s="6" t="s">
        <v>48</v>
      </c>
      <c r="B123" s="6" t="s">
        <v>619</v>
      </c>
      <c r="C123" s="6" t="s">
        <v>729</v>
      </c>
      <c r="D123" s="6" t="s">
        <v>832</v>
      </c>
      <c r="E123" s="6"/>
    </row>
    <row r="124" customFormat="false" ht="15" hidden="false" customHeight="false" outlineLevel="0" collapsed="false">
      <c r="A124" s="6" t="s">
        <v>48</v>
      </c>
      <c r="B124" s="6" t="s">
        <v>620</v>
      </c>
      <c r="C124" s="6" t="s">
        <v>729</v>
      </c>
      <c r="D124" s="6" t="s">
        <v>833</v>
      </c>
      <c r="E124" s="6"/>
    </row>
    <row r="125" customFormat="false" ht="15" hidden="false" customHeight="false" outlineLevel="0" collapsed="false">
      <c r="A125" s="6" t="s">
        <v>48</v>
      </c>
      <c r="B125" s="6" t="s">
        <v>621</v>
      </c>
      <c r="C125" s="6" t="s">
        <v>729</v>
      </c>
      <c r="D125" s="6" t="s">
        <v>834</v>
      </c>
      <c r="E125" s="6"/>
    </row>
    <row r="126" customFormat="false" ht="15" hidden="false" customHeight="false" outlineLevel="0" collapsed="false">
      <c r="A126" s="6" t="s">
        <v>50</v>
      </c>
      <c r="B126" s="6" t="s">
        <v>631</v>
      </c>
      <c r="C126" s="6" t="s">
        <v>722</v>
      </c>
      <c r="D126" s="6" t="s">
        <v>835</v>
      </c>
      <c r="E126" s="6"/>
    </row>
    <row r="127" customFormat="false" ht="15" hidden="false" customHeight="false" outlineLevel="0" collapsed="false">
      <c r="A127" s="6" t="s">
        <v>50</v>
      </c>
      <c r="B127" s="6" t="s">
        <v>632</v>
      </c>
      <c r="C127" s="6" t="s">
        <v>724</v>
      </c>
      <c r="D127" s="6" t="s">
        <v>836</v>
      </c>
      <c r="E127" s="6"/>
    </row>
    <row r="128" customFormat="false" ht="15" hidden="false" customHeight="false" outlineLevel="0" collapsed="false">
      <c r="A128" s="6" t="s">
        <v>50</v>
      </c>
      <c r="B128" s="6" t="s">
        <v>633</v>
      </c>
      <c r="C128" s="6" t="s">
        <v>657</v>
      </c>
      <c r="D128" s="6" t="s">
        <v>837</v>
      </c>
      <c r="E128" s="6"/>
    </row>
    <row r="129" customFormat="false" ht="15" hidden="false" customHeight="false" outlineLevel="0" collapsed="false">
      <c r="A129" s="6" t="s">
        <v>50</v>
      </c>
      <c r="B129" s="6" t="s">
        <v>634</v>
      </c>
      <c r="C129" s="6" t="s">
        <v>724</v>
      </c>
      <c r="D129" s="6" t="s">
        <v>838</v>
      </c>
      <c r="E129" s="6"/>
    </row>
    <row r="130" customFormat="false" ht="15" hidden="false" customHeight="false" outlineLevel="0" collapsed="false">
      <c r="A130" s="6" t="s">
        <v>50</v>
      </c>
      <c r="B130" s="6" t="s">
        <v>635</v>
      </c>
      <c r="C130" s="6" t="s">
        <v>724</v>
      </c>
      <c r="D130" s="6" t="s">
        <v>839</v>
      </c>
      <c r="E130" s="6"/>
    </row>
    <row r="131" customFormat="false" ht="15" hidden="false" customHeight="false" outlineLevel="0" collapsed="false">
      <c r="A131" s="6" t="s">
        <v>50</v>
      </c>
      <c r="B131" s="6" t="s">
        <v>636</v>
      </c>
      <c r="C131" s="6" t="s">
        <v>724</v>
      </c>
      <c r="D131" s="6" t="s">
        <v>840</v>
      </c>
      <c r="E131" s="6"/>
    </row>
    <row r="132" customFormat="false" ht="15" hidden="false" customHeight="false" outlineLevel="0" collapsed="false">
      <c r="A132" s="6" t="s">
        <v>50</v>
      </c>
      <c r="B132" s="6" t="s">
        <v>637</v>
      </c>
      <c r="C132" s="6" t="s">
        <v>724</v>
      </c>
      <c r="D132" s="6" t="s">
        <v>841</v>
      </c>
      <c r="E132" s="6"/>
    </row>
    <row r="133" customFormat="false" ht="15" hidden="false" customHeight="false" outlineLevel="0" collapsed="false">
      <c r="A133" s="6" t="s">
        <v>50</v>
      </c>
      <c r="B133" s="6" t="s">
        <v>638</v>
      </c>
      <c r="C133" s="6" t="s">
        <v>724</v>
      </c>
      <c r="D133" s="6" t="s">
        <v>842</v>
      </c>
      <c r="E13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2026-10-16T16:32:00Z</dcterms:created>
  <dc:creator>openpyxl</dc:creator>
  <dc:description/>
  <dc:language>en-US</dc:language>
  <cp:lastModifiedBy/>
  <dcterms:modified xsi:type="dcterms:W3CDTF">2026-10-16T16:32:01Z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